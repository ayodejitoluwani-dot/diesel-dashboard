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0" documentId="8_{D8FA3DB5-C1CD-459D-A20E-A9FD9ECEB9AD}" xr6:coauthVersionLast="47" xr6:coauthVersionMax="47" xr10:uidLastSave="{00000000-0000-0000-0000-000000000000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<sst xmlns="http://schemas.openxmlformats.org/spreadsheetml/2006/main" count="151" uniqueCount="54">
  <si>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</si>
  <si>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</si>
  <si>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</si>
  <si>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</si>
  <si>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</si>
  <si>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</si>
  <si>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</si>
  <si>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</si>
  <si>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</si>
  <si>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</si>
  <si>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</si>
  <si>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</si>
  <si>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</si>
  <si>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</si>
  <si>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</si>
  <si>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</si>
  <si>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</si>
  <si>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</si>
  <si>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</si>
  <si>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</si>
  <si>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</si>
  <si>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</si>
  <si>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</si>
  <si>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</si>
  <si>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</si>
  <si>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</si>
  <si>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</si>
  <si>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</si>
  <si>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</si>
  <si>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</si>
  <si>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</si>
  <si>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</si>
  <si>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</si>
  <si>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</si>
  <si>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</si>
  <si>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</si>
  <si>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</si>
  <si>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</si>
  <si>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</si>
  <si>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</si>
  <si>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</si>
  <si>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</si>
  <si>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</si>
  <si>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</si>
  <si>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</si>
  <si>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</si>
  <si>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</si>
  <si>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</si>
  <si>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</si>
  <si>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</si>
  <si>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</si>
  <si>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</si>
  <si>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</si>
  <si>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>Total Diesel Usage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</si>
</sst>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2" fillId="0" borderId="1" xfId="0" applyFont="1" applyBorder="1"/>
    <xf numFmtId="0" fontId="33" fillId="0" borderId="1" xfId="0" applyFont="1" applyBorder="1"/>
    <xf numFmtId="0" fontId="34" fillId="0" borderId="0" xfId="0" applyFont="1"/>
    <xf numFmtId="0" fontId="36" fillId="0" borderId="0" xfId="0" applyFont="1" applyAlignment="1">
      <alignment vertical="center"/>
    </xf>
    <xf numFmtId="14" fontId="0" fillId="0" borderId="0" xfId="0" applyNumberFormat="1"/>
    <xf numFmtId="165" fontId="35" fillId="0" borderId="0" xfId="0" applyNumberFormat="1" applyFont="1"/>
    <xf numFmtId="166" fontId="34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7" fillId="0" borderId="0" xfId="0" applyNumberFormat="1" applyFont="1"/>
    <xf numFmtId="0" fontId="31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30" fillId="0" borderId="0" xfId="0" applyFont="1"/>
    <xf numFmtId="0" fontId="29" fillId="2" borderId="10" xfId="0" quotePrefix="1" applyFont="1" applyFill="1" applyBorder="1"/>
    <xf numFmtId="0" fontId="29" fillId="2" borderId="11" xfId="0" quotePrefix="1" applyFont="1" applyFill="1" applyBorder="1"/>
    <xf numFmtId="164" fontId="34" fillId="0" borderId="0" xfId="0" applyNumberFormat="1" applyFont="1"/>
    <xf numFmtId="2" fontId="34" fillId="0" borderId="0" xfId="0" applyNumberFormat="1" applyFont="1"/>
    <xf numFmtId="0" fontId="28" fillId="2" borderId="5" xfId="0" quotePrefix="1" applyFont="1" applyFill="1" applyBorder="1"/>
    <xf numFmtId="0" fontId="28" fillId="2" borderId="6" xfId="0" quotePrefix="1" applyFont="1" applyFill="1" applyBorder="1"/>
    <xf numFmtId="0" fontId="27" fillId="2" borderId="5" xfId="0" quotePrefix="1" applyFont="1" applyFill="1" applyBorder="1"/>
    <xf numFmtId="0" fontId="33" fillId="0" borderId="15" xfId="0" applyFont="1" applyBorder="1"/>
    <xf numFmtId="0" fontId="26" fillId="2" borderId="5" xfId="0" quotePrefix="1" applyFont="1" applyFill="1" applyBorder="1"/>
    <xf numFmtId="0" fontId="0" fillId="0" borderId="0" xfId="0" applyAlignment="1">
      <alignment wrapText="1"/>
    </xf>
    <xf numFmtId="0" fontId="25" fillId="0" borderId="0" xfId="0" applyFont="1"/>
    <xf numFmtId="0" fontId="33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33" fillId="0" borderId="15" xfId="0" applyFont="1" applyBorder="1" applyAlignment="1">
      <alignment wrapText="1"/>
    </xf>
    <xf numFmtId="0" fontId="19" fillId="0" borderId="0" xfId="0" applyFont="1"/>
    <xf numFmtId="0" fontId="18" fillId="2" borderId="10" xfId="0" quotePrefix="1" applyFont="1" applyFill="1" applyBorder="1"/>
    <xf numFmtId="0" fontId="17" fillId="0" borderId="0" xfId="0" quotePrefix="1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4" fillId="2" borderId="10" xfId="0" quotePrefix="1" applyFont="1" applyFill="1" applyBorder="1"/>
    <xf numFmtId="0" fontId="13" fillId="2" borderId="5" xfId="0" quotePrefix="1" applyFont="1" applyFill="1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quotePrefix="1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35" fillId="2" borderId="7" xfId="0" applyFont="1" applyFill="1" applyBorder="1" applyAlignment="1">
      <alignment horizontal="center"/>
    </xf>
    <xf numFmtId="0" fontId="35" fillId="2" borderId="8" xfId="0" applyFont="1" applyFill="1" applyBorder="1" applyAlignment="1">
      <alignment horizontal="center"/>
    </xf>
    <xf numFmtId="0" fontId="35" fillId="2" borderId="9" xfId="0" applyFont="1" applyFill="1" applyBorder="1" applyAlignment="1">
      <alignment horizontal="center"/>
    </xf>
    <xf numFmtId="0" fontId="3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</c:v>
                </c:pt>
                <c:pt idx="1">
                  <c:v>158.25</c:v>
                </c:pt>
                <c:pt idx="2">
                  <c:v>295</c:v>
                </c:pt>
                <c:pt idx="3">
                  <c:v>196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126.5</c:v>
                </c:pt>
                <c:pt idx="8">
                  <c:v>475</c:v>
                </c:pt>
                <c:pt idx="9">
                  <c:v>68</c:v>
                </c:pt>
                <c:pt idx="10">
                  <c:v>40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Stock Level'!$C$2</c:f>
              <c:strCache>
                <c:ptCount val="1"/>
                <c:pt idx="0">
                  <c:v>Diesel Stock Level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'Diesel Stock Level'!$B$3:$B$16</c:f>
              <c:strCache>
                <c:ptCount val="14"/>
                <c:pt idx="0">
                  <c:v>Venus Small</c:v>
                </c:pt>
                <c:pt idx="1">
                  <c:v>Venus Big</c:v>
                </c:pt>
                <c:pt idx="2">
                  <c:v>April</c:v>
                </c:pt>
                <c:pt idx="3">
                  <c:v>Summer</c:v>
                </c:pt>
                <c:pt idx="4">
                  <c:v>April</c:v>
                </c:pt>
                <c:pt idx="5">
                  <c:v>Valley</c:v>
                </c:pt>
                <c:pt idx="6">
                  <c:v>Xii-Lungi</c:v>
                </c:pt>
                <c:pt idx="7">
                  <c:v>Niche</c:v>
                </c:pt>
                <c:pt idx="8">
                  <c:v>Stazia</c:v>
                </c:pt>
                <c:pt idx="9">
                  <c:v>Liberville small</c:v>
                </c:pt>
                <c:pt idx="10">
                  <c:v>Libreville Big</c:v>
                </c:pt>
                <c:pt idx="11">
                  <c:v>Guzape</c:v>
                </c:pt>
                <c:pt idx="12">
                  <c:v>Tranquillo big</c:v>
                </c:pt>
                <c:pt idx="13">
                  <c:v>Tranquillo Small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</c:v>
                </c:pt>
                <c:pt idx="1">
                  <c:v>158.25</c:v>
                </c:pt>
                <c:pt idx="2">
                  <c:v>295</c:v>
                </c:pt>
                <c:pt idx="3">
                  <c:v>196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126.5</c:v>
                </c:pt>
                <c:pt idx="8">
                  <c:v>475</c:v>
                </c:pt>
                <c:pt idx="9">
                  <c:v>68</c:v>
                </c:pt>
                <c:pt idx="10">
                  <c:v>40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73C-AD9E-C92D3A8F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524191"/>
        <c:axId val="1767316847"/>
      </c:barChart>
      <c:catAx>
        <c:axId val="11815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7316847"/>
        <c:crosses val="autoZero"/>
        <c:auto val="1"/>
        <c:lblAlgn val="ctr"/>
        <c:lblOffset val="100"/>
        <c:noMultiLvlLbl val="0"/>
      </c:catAx>
      <c:valAx>
        <c:axId val="176731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152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0.92</c:v>
                </c:pt>
                <c:pt idx="1">
                  <c:v>6.49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10</c:v>
                </c:pt>
                <c:pt idx="7">
                  <c:v>24.57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0.92</c:v>
                </c:pt>
                <c:pt idx="1">
                  <c:v>6.49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10</c:v>
                </c:pt>
                <c:pt idx="7">
                  <c:v>24.57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340</c:v>
                </c:pt>
                <c:pt idx="1">
                  <c:v>158.25</c:v>
                </c:pt>
                <c:pt idx="2">
                  <c:v>295</c:v>
                </c:pt>
                <c:pt idx="3">
                  <c:v>196</c:v>
                </c:pt>
                <c:pt idx="4">
                  <c:v>205</c:v>
                </c:pt>
                <c:pt idx="5">
                  <c:v>0</c:v>
                </c:pt>
                <c:pt idx="6">
                  <c:v>122.5</c:v>
                </c:pt>
                <c:pt idx="7">
                  <c:v>126.5</c:v>
                </c:pt>
                <c:pt idx="8">
                  <c:v>475</c:v>
                </c:pt>
                <c:pt idx="9">
                  <c:v>68</c:v>
                </c:pt>
                <c:pt idx="10">
                  <c:v>40</c:v>
                </c:pt>
                <c:pt idx="11">
                  <c:v>243</c:v>
                </c:pt>
                <c:pt idx="12">
                  <c:v>283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0.92</c:v>
                </c:pt>
                <c:pt idx="1">
                  <c:v>6.49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</c:v>
                </c:pt>
                <c:pt idx="6">
                  <c:v>10</c:v>
                </c:pt>
                <c:pt idx="7">
                  <c:v>24.57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407831</xdr:colOff>
      <xdr:row>8</xdr:row>
      <xdr:rowOff>114836</xdr:rowOff>
    </xdr:from>
    <xdr:to>
      <xdr:col>26</xdr:col>
      <xdr:colOff>847859</xdr:colOff>
      <xdr:row>30</xdr:row>
      <xdr:rowOff>118055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52D27-EB9C-E2DB-5585-62587384E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3174</xdr:rowOff>
    </xdr:from>
    <xdr:to>
      <xdr:col>12</xdr:col>
      <xdr:colOff>511175</xdr:colOff>
      <xdr:row>24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K11" sqref="K11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340</v>
      </c>
      <c r="F2" s="28" t="s">
        <v>5</v>
      </c>
      <c r="G2" s="48">
        <v>10</v>
      </c>
      <c r="J2" s="28" t="s">
        <v>5</v>
      </c>
      <c r="K2" s="54">
        <v>0.92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61">
        <v>295</v>
      </c>
      <c r="F4" s="28" t="s">
        <v>9</v>
      </c>
      <c r="G4" s="28">
        <v>35</v>
      </c>
      <c r="J4" s="39" t="s">
        <v>9</v>
      </c>
      <c r="K4" s="55">
        <v>6.49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196</v>
      </c>
      <c r="F5" s="48" t="s">
        <v>45</v>
      </c>
      <c r="G5" s="51">
        <v>9</v>
      </c>
      <c r="J5" s="48" t="s">
        <v>45</v>
      </c>
      <c r="K5" s="51">
        <v>4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122.5</v>
      </c>
      <c r="F8" s="28" t="s">
        <v>8</v>
      </c>
      <c r="G8" s="51">
        <v>0</v>
      </c>
      <c r="J8" s="28" t="s">
        <v>8</v>
      </c>
      <c r="K8" s="36">
        <v>0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126.5</v>
      </c>
      <c r="F9" s="28" t="s">
        <v>10</v>
      </c>
      <c r="G9" s="38">
        <v>0.8</v>
      </c>
      <c r="J9" s="28" t="s">
        <v>10</v>
      </c>
      <c r="K9" s="30">
        <v>1.6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475</v>
      </c>
      <c r="F10" s="28" t="s">
        <v>18</v>
      </c>
      <c r="G10" s="28">
        <v>45</v>
      </c>
      <c r="J10" s="28" t="s">
        <v>18</v>
      </c>
      <c r="K10" s="54">
        <v>10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475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68</v>
      </c>
      <c r="F12" s="28" t="s">
        <v>21</v>
      </c>
      <c r="G12" s="28">
        <v>26</v>
      </c>
      <c r="J12" s="28" t="s">
        <v>21</v>
      </c>
      <c r="K12" s="28">
        <v>5</v>
      </c>
    </row>
    <row r="13" spans="1:17" ht="14.25" customHeight="1" x14ac:dyDescent="0.3">
      <c r="A13" s="13"/>
      <c r="B13" s="28" t="s">
        <v>22</v>
      </c>
      <c r="C13" s="28">
        <v>40</v>
      </c>
      <c r="F13" s="28" t="s">
        <v>22</v>
      </c>
      <c r="G13" s="28">
        <v>173</v>
      </c>
      <c r="J13" s="28" t="s">
        <v>22</v>
      </c>
      <c r="K13" s="28">
        <v>19.57</v>
      </c>
    </row>
    <row r="14" spans="1:17" ht="14.25" customHeight="1" x14ac:dyDescent="0.3">
      <c r="A14" s="13"/>
      <c r="B14" s="28" t="s">
        <v>19</v>
      </c>
      <c r="C14" s="28">
        <v>243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283</v>
      </c>
      <c r="F15" s="28" t="s">
        <v>23</v>
      </c>
      <c r="G15" s="51">
        <v>0</v>
      </c>
      <c r="J15" s="28" t="s">
        <v>23</v>
      </c>
      <c r="K15" s="51">
        <v>0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Q14" sqref="Q1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340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295</v>
      </c>
    </row>
    <row r="6" spans="2:3" ht="14.25" customHeight="1" x14ac:dyDescent="0.3">
      <c r="B6" s="2" t="s">
        <v>45</v>
      </c>
      <c r="C6" s="2">
        <f>(Sheet1!C5)</f>
        <v>196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122.5</v>
      </c>
    </row>
    <row r="10" spans="2:3" ht="14.25" customHeight="1" x14ac:dyDescent="0.3">
      <c r="B10" s="2" t="s">
        <v>10</v>
      </c>
      <c r="C10" s="2">
        <f>(Sheet1!C9)</f>
        <v>126.5</v>
      </c>
    </row>
    <row r="11" spans="2:3" ht="14.25" customHeight="1" x14ac:dyDescent="0.3">
      <c r="B11" s="2" t="s">
        <v>16</v>
      </c>
      <c r="C11" s="2">
        <f>(Sheet1!C10)</f>
        <v>475</v>
      </c>
    </row>
    <row r="12" spans="2:3" ht="14.25" customHeight="1" x14ac:dyDescent="0.3">
      <c r="B12" s="2" t="s">
        <v>48</v>
      </c>
      <c r="C12" s="2">
        <f>(Sheet1!C12)</f>
        <v>68</v>
      </c>
    </row>
    <row r="13" spans="2:3" ht="14.25" customHeight="1" x14ac:dyDescent="0.3">
      <c r="B13" s="2" t="s">
        <v>49</v>
      </c>
      <c r="C13" s="2">
        <f>Sheet1!C13</f>
        <v>40</v>
      </c>
    </row>
    <row r="14" spans="2:3" ht="14.4" x14ac:dyDescent="0.3">
      <c r="B14" s="2" t="s">
        <v>19</v>
      </c>
      <c r="C14" s="29">
        <f>Sheet1!C14</f>
        <v>243</v>
      </c>
    </row>
    <row r="15" spans="2:3" ht="14.25" customHeight="1" x14ac:dyDescent="0.3">
      <c r="B15" s="2" t="s">
        <v>43</v>
      </c>
      <c r="C15">
        <f>Sheet1!C15</f>
        <v>283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2552.25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N21" sqref="N21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10</v>
      </c>
    </row>
    <row r="4" spans="3:4" ht="14.25" customHeight="1" x14ac:dyDescent="0.3">
      <c r="C4" s="2" t="s">
        <v>6</v>
      </c>
      <c r="D4" s="2">
        <f>Sheet1!G5</f>
        <v>9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0</v>
      </c>
    </row>
    <row r="8" spans="3:4" ht="14.25" customHeight="1" x14ac:dyDescent="0.3">
      <c r="C8" s="2" t="s">
        <v>10</v>
      </c>
      <c r="D8" s="2">
        <f>(Sheet1!G9)</f>
        <v>0.8</v>
      </c>
    </row>
    <row r="9" spans="3:4" ht="14.25" customHeight="1" x14ac:dyDescent="0.3">
      <c r="C9" s="2" t="s">
        <v>16</v>
      </c>
      <c r="D9" s="2">
        <f>SUM(Sheet1!G10:G11)</f>
        <v>45</v>
      </c>
    </row>
    <row r="10" spans="3:4" ht="14.25" customHeight="1" x14ac:dyDescent="0.3">
      <c r="C10" s="2" t="s">
        <v>11</v>
      </c>
      <c r="D10" s="2">
        <f>SUM(Sheet1!G12:G13)</f>
        <v>199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0</v>
      </c>
    </row>
    <row r="14" spans="3:4" ht="14.25" customHeight="1" x14ac:dyDescent="0.3">
      <c r="C14" s="25" t="s">
        <v>40</v>
      </c>
      <c r="D14">
        <f>Sheet1!G5</f>
        <v>9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272.8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B19" sqref="B19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0.92</v>
      </c>
    </row>
    <row r="4" spans="3:4" ht="14.25" customHeight="1" x14ac:dyDescent="0.3">
      <c r="C4" s="2" t="s">
        <v>6</v>
      </c>
      <c r="D4" s="2">
        <f>SUM(Sheet1!K4:K4)</f>
        <v>6.49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0</v>
      </c>
    </row>
    <row r="8" spans="3:4" ht="14.25" customHeight="1" x14ac:dyDescent="0.3">
      <c r="C8" s="2" t="s">
        <v>10</v>
      </c>
      <c r="D8" s="2">
        <f>(Sheet1!K9)</f>
        <v>1.6</v>
      </c>
    </row>
    <row r="9" spans="3:4" ht="14.25" customHeight="1" x14ac:dyDescent="0.3">
      <c r="C9" s="2" t="s">
        <v>16</v>
      </c>
      <c r="D9" s="2">
        <f>SUM(Sheet1!K10:K11)</f>
        <v>10</v>
      </c>
    </row>
    <row r="10" spans="3:4" ht="14.25" customHeight="1" x14ac:dyDescent="0.3">
      <c r="C10" s="2" t="s">
        <v>11</v>
      </c>
      <c r="D10" s="2">
        <f>SUM(Sheet1!K12:K13)</f>
        <v>24.57</v>
      </c>
    </row>
    <row r="11" spans="3:4" ht="14.25" customHeight="1" x14ac:dyDescent="0.3">
      <c r="C11" s="2" t="s">
        <v>19</v>
      </c>
      <c r="D11" s="2">
        <f>(Sheet1!K14)</f>
        <v>0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0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43.58</v>
      </c>
    </row>
    <row r="17" spans="2:4" ht="14.25" customHeight="1" x14ac:dyDescent="0.3">
      <c r="D17" s="13">
        <f>B19/D16</f>
        <v>6.2597521798990368</v>
      </c>
    </row>
    <row r="18" spans="2:4" ht="14.25" customHeight="1" x14ac:dyDescent="0.3"/>
    <row r="19" spans="2:4" ht="14.25" customHeight="1" x14ac:dyDescent="0.3">
      <c r="B19">
        <f>'Diesel Consumed'!D16</f>
        <v>272.8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topLeftCell="A3" zoomScale="72" zoomScaleNormal="58" workbookViewId="0">
      <selection activeCell="L5" sqref="L5:Q7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 xml:space="preserve"> TODAY()</f>
        <v>46286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59" t="s">
        <v>53</v>
      </c>
      <c r="M5" s="60"/>
      <c r="N5" s="60"/>
      <c r="O5" s="60"/>
      <c r="Q5" s="3">
        <f>('Diesel Consumed'!D16)</f>
        <v>272.8</v>
      </c>
    </row>
    <row r="6" spans="4:19" x14ac:dyDescent="0.3">
      <c r="D6" s="3" t="s">
        <v>29</v>
      </c>
      <c r="G6" s="27"/>
      <c r="H6" s="7">
        <f>('Diesel Consumed'!$D$16)</f>
        <v>272.8</v>
      </c>
      <c r="L6" s="3" t="s">
        <v>30</v>
      </c>
      <c r="M6" s="13"/>
      <c r="Q6" s="21">
        <f>('Total Hours'!$D$16)</f>
        <v>43.58</v>
      </c>
    </row>
    <row r="7" spans="4:19" x14ac:dyDescent="0.3">
      <c r="H7" t="s">
        <v>52</v>
      </c>
      <c r="L7" s="3" t="s">
        <v>31</v>
      </c>
      <c r="Q7" s="7">
        <f>('Total Hours'!$D$17)</f>
        <v>6.2597521798990368</v>
      </c>
    </row>
    <row r="19" spans="4:17" x14ac:dyDescent="0.3">
      <c r="D19" s="3" t="s">
        <v>32</v>
      </c>
      <c r="H19" s="7">
        <f>('Diesel Stock Level'!$C$18)</f>
        <v>2552.25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2">
    <mergeCell ref="G34:P34"/>
    <mergeCell ref="L5:O5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topLeftCell="A4" zoomScale="64" zoomScaleNormal="75" workbookViewId="0">
      <selection activeCell="K25" sqref="K25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46286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43.58</v>
      </c>
    </row>
    <row r="7" spans="4:19" x14ac:dyDescent="0.3">
      <c r="L7" s="3" t="s">
        <v>31</v>
      </c>
      <c r="Q7" s="7">
        <f>('Total Hours'!$D$17)</f>
        <v>6.2597521798990368</v>
      </c>
    </row>
    <row r="19" spans="4:17" x14ac:dyDescent="0.3">
      <c r="D19" s="3" t="s">
        <v>32</v>
      </c>
      <c r="H19" s="20">
        <f>('Diesel Stock Level'!$C$18)</f>
        <v>2552.25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6" t="s">
        <v>34</v>
      </c>
      <c r="H34" s="57"/>
      <c r="I34" s="57"/>
      <c r="J34" s="57"/>
      <c r="K34" s="57"/>
      <c r="L34" s="57"/>
      <c r="M34" s="57"/>
      <c r="N34" s="57"/>
      <c r="O34" s="57"/>
      <c r="P34" s="58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2026-09-21T12:57:06Z</cp:lastPrinted>
  <dcterms:created xsi:type="dcterms:W3CDTF">2024-11-16T10:33:49Z</dcterms:created>
  <dcterms:modified xsi:type="dcterms:W3CDTF">2026-09-21T12:59:26Z</dcterms:modified>
  <cp:category/>
  <cp:contentStatus/>
</cp:coreProperties>
</file>