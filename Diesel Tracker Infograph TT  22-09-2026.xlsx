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cbb45cca03e754/Desktop/10x10/"/>
    </mc:Choice>
  </mc:AlternateContent>
  <xr:revisionPtr revIDLastSave="69" documentId="8_{23FE8305-EA3D-4A1A-97FB-58314BD58F30}" xr6:coauthVersionLast="47" xr6:coauthVersionMax="47" xr10:uidLastSave="{B441CD88-0FF3-47CD-8956-76E4F02216E8}"/>
  <bookViews>
    <workbookView xWindow="-108" yWindow="-108" windowWidth="23256" windowHeight="13176" tabRatio="854" activeTab="5" xr2:uid="{00000000-000D-0000-FFFF-FFFF00000000}"/>
  </bookViews>
  <sheets>
    <sheet name="Sheet1" sheetId="1" r:id="rId1"/>
    <sheet name="Diesel Stock Level" sheetId="2" r:id="rId2"/>
    <sheet name="Diesel Consumed" sheetId="3" r:id="rId3"/>
    <sheet name="Total Hours" sheetId="4" r:id="rId4"/>
    <sheet name="Diesel Reserve" sheetId="5" r:id="rId5"/>
    <sheet name="Report" sheetId="7" r:id="rId6"/>
    <sheet name="Report (Monday)" sheetId="8" r:id="rId7"/>
  </sheets>
  <definedNames>
    <definedName name="_xlchart.v1.0" hidden="1">'Diesel Stock Level'!$B$4:$B$15</definedName>
    <definedName name="_xlchart.v1.1" hidden="1">'Diesel Stock Level'!$C$2</definedName>
    <definedName name="_xlchart.v1.2" hidden="1">'Diesel Stock Level'!$C$3:$C$13</definedName>
    <definedName name="_xlnm.Print_Area" localSheetId="5">Report!$C$2:$R$39</definedName>
    <definedName name="_xlnm.Print_Area" localSheetId="6">'Report (Monday)'!$C$2:$R$40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4" l="1"/>
  <c r="D12" i="4"/>
  <c r="D5" i="4"/>
  <c r="D6" i="4"/>
  <c r="D7" i="4"/>
  <c r="D8" i="4"/>
  <c r="D9" i="4"/>
  <c r="D11" i="4"/>
  <c r="D14" i="4"/>
  <c r="D4" i="3"/>
  <c r="D5" i="3"/>
  <c r="C16" i="2" l="1"/>
  <c r="C15" i="2"/>
  <c r="C14" i="2"/>
  <c r="C13" i="2"/>
  <c r="C12" i="2"/>
  <c r="C11" i="2"/>
  <c r="C10" i="2"/>
  <c r="C9" i="2"/>
  <c r="C8" i="2"/>
  <c r="C7" i="2"/>
  <c r="C6" i="2"/>
  <c r="C5" i="2"/>
  <c r="C4" i="2"/>
  <c r="C3" i="2"/>
  <c r="D9" i="3"/>
  <c r="D13" i="4"/>
  <c r="D13" i="3"/>
  <c r="D12" i="3"/>
  <c r="D14" i="3"/>
  <c r="D10" i="3"/>
  <c r="D3" i="4"/>
  <c r="D3" i="3"/>
  <c r="Q3" i="8" l="1"/>
  <c r="D9" i="5"/>
  <c r="D10" i="5"/>
  <c r="D15" i="5" s="1"/>
  <c r="D4" i="4" l="1"/>
  <c r="D16" i="4" s="1"/>
  <c r="D11" i="3"/>
  <c r="D8" i="3"/>
  <c r="D7" i="3"/>
  <c r="D6" i="3"/>
  <c r="Q6" i="7" l="1"/>
  <c r="D16" i="3"/>
  <c r="C18" i="2"/>
  <c r="H19" i="7" s="1"/>
  <c r="B19" i="4" l="1"/>
  <c r="D17" i="4" s="1"/>
  <c r="Q7" i="7" s="1"/>
  <c r="Q5" i="7"/>
  <c r="H6" i="7"/>
  <c r="Q6" i="8"/>
  <c r="Q19" i="7"/>
  <c r="Q19" i="8"/>
  <c r="H19" i="8"/>
  <c r="H6" i="8"/>
  <c r="Q7" i="8" l="1"/>
</calcChain>
</file>

<file path=xl/sharedStrings.xml><?xml version="1.0" encoding="utf-8"?>
<sst xmlns="http://schemas.openxmlformats.org/spreadsheetml/2006/main" count="153" uniqueCount="54">
  <si>
    <t>Property</t>
  </si>
  <si>
    <t>Diesel Stock Level</t>
  </si>
  <si>
    <t>Diesel Consumed</t>
  </si>
  <si>
    <t>Total Hours</t>
  </si>
  <si>
    <t>Diesel Reserve Level</t>
  </si>
  <si>
    <t>Venus (small)</t>
  </si>
  <si>
    <t>April</t>
  </si>
  <si>
    <t>Venus (big)</t>
  </si>
  <si>
    <t>Xii-Lungi</t>
  </si>
  <si>
    <t>April (small)</t>
  </si>
  <si>
    <t>Niche</t>
  </si>
  <si>
    <t>Libreville</t>
  </si>
  <si>
    <t>April (BIG)</t>
  </si>
  <si>
    <t>April (BIG) (Est)</t>
  </si>
  <si>
    <t>Valley</t>
  </si>
  <si>
    <t>Tranquillo</t>
  </si>
  <si>
    <t>Stazia</t>
  </si>
  <si>
    <t>Venus</t>
  </si>
  <si>
    <t>Stazia(small)</t>
  </si>
  <si>
    <t>Guzape</t>
  </si>
  <si>
    <t>Stazia(big)</t>
  </si>
  <si>
    <t>Libreville (small)</t>
  </si>
  <si>
    <t>Libreville (big)</t>
  </si>
  <si>
    <t>Tranquilo (small)</t>
  </si>
  <si>
    <t>Tranquilo (big)</t>
  </si>
  <si>
    <t>Hours</t>
  </si>
  <si>
    <t>Takum</t>
  </si>
  <si>
    <t>Anchorage Hills</t>
  </si>
  <si>
    <t>Anchorage Hiils</t>
  </si>
  <si>
    <t xml:space="preserve">                                                  Total Diesel Consumed in all Properties:</t>
  </si>
  <si>
    <t xml:space="preserve">     Total Generator-run Hours across all Properties:</t>
  </si>
  <si>
    <t xml:space="preserve">     Average Hourly Usage across all Properties:</t>
  </si>
  <si>
    <t xml:space="preserve">                                                  Total Diesel Stock Level in all Properties:</t>
  </si>
  <si>
    <t xml:space="preserve">            Total external diesel reserve in all Properties: </t>
  </si>
  <si>
    <t>General Comments and Observations</t>
  </si>
  <si>
    <t xml:space="preserve">       Generator Usage Daily Report</t>
  </si>
  <si>
    <t xml:space="preserve">Valley </t>
  </si>
  <si>
    <t>-  Diesel consumption and Generator-run hours are generally satisfactory.</t>
  </si>
  <si>
    <t xml:space="preserve">- Anchorage hills reading for the past week have been added. </t>
  </si>
  <si>
    <t xml:space="preserve">Generator Usage Daily Report </t>
  </si>
  <si>
    <t>Apex</t>
  </si>
  <si>
    <t>Tranquillo Big</t>
  </si>
  <si>
    <t>Tranquillo Small</t>
  </si>
  <si>
    <t>Tranquillo big</t>
  </si>
  <si>
    <t xml:space="preserve"> </t>
  </si>
  <si>
    <t>Summer</t>
  </si>
  <si>
    <t xml:space="preserve">-  Diesel consumption and Generator-run hours are generally satisfactory. </t>
  </si>
  <si>
    <t>ss</t>
  </si>
  <si>
    <t>Liberville small</t>
  </si>
  <si>
    <t>Libreville Big</t>
  </si>
  <si>
    <t>Venus Small</t>
  </si>
  <si>
    <t>Venus Big</t>
  </si>
  <si>
    <t>s</t>
  </si>
  <si>
    <t xml:space="preserve">    Total Diesel Usage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</si>
</sst>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]d\ mmm\ yyyy;@" x16r2:formatCode16="[$-en-NG,1]d\ mmm\ yyyy;@"/>
    <numFmt numFmtId="166" formatCode="#,##0.00\ &quot;LTRS&quot;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9" fillId="0" borderId="1" xfId="0" applyFont="1" applyBorder="1"/>
    <xf numFmtId="0" fontId="30" fillId="0" borderId="1" xfId="0" applyFont="1" applyBorder="1"/>
    <xf numFmtId="0" fontId="31" fillId="0" borderId="0" xfId="0" applyFont="1"/>
    <xf numFmtId="0" fontId="33" fillId="0" borderId="0" xfId="0" applyFont="1" applyAlignment="1">
      <alignment vertical="center"/>
    </xf>
    <xf numFmtId="14" fontId="0" fillId="0" borderId="0" xfId="0" applyNumberFormat="1"/>
    <xf numFmtId="165" fontId="32" fillId="0" borderId="0" xfId="0" applyNumberFormat="1" applyFont="1"/>
    <xf numFmtId="166" fontId="31" fillId="0" borderId="0" xfId="0" applyNumberFormat="1" applyFont="1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165" fontId="34" fillId="0" borderId="0" xfId="0" applyNumberFormat="1" applyFont="1"/>
    <xf numFmtId="0" fontId="28" fillId="0" borderId="0" xfId="0" applyFont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27" fillId="0" borderId="0" xfId="0" applyFont="1"/>
    <xf numFmtId="0" fontId="26" fillId="2" borderId="10" xfId="0" quotePrefix="1" applyFont="1" applyFill="1" applyBorder="1"/>
    <xf numFmtId="0" fontId="26" fillId="2" borderId="11" xfId="0" quotePrefix="1" applyFont="1" applyFill="1" applyBorder="1"/>
    <xf numFmtId="164" fontId="31" fillId="0" borderId="0" xfId="0" applyNumberFormat="1" applyFont="1"/>
    <xf numFmtId="2" fontId="31" fillId="0" borderId="0" xfId="0" applyNumberFormat="1" applyFont="1"/>
    <xf numFmtId="0" fontId="25" fillId="2" borderId="5" xfId="0" quotePrefix="1" applyFont="1" applyFill="1" applyBorder="1"/>
    <xf numFmtId="0" fontId="25" fillId="2" borderId="6" xfId="0" quotePrefix="1" applyFont="1" applyFill="1" applyBorder="1"/>
    <xf numFmtId="0" fontId="24" fillId="2" borderId="5" xfId="0" quotePrefix="1" applyFont="1" applyFill="1" applyBorder="1"/>
    <xf numFmtId="0" fontId="30" fillId="0" borderId="15" xfId="0" applyFont="1" applyBorder="1"/>
    <xf numFmtId="0" fontId="23" fillId="2" borderId="5" xfId="0" quotePrefix="1" applyFont="1" applyFill="1" applyBorder="1"/>
    <xf numFmtId="0" fontId="0" fillId="0" borderId="0" xfId="0" applyAlignment="1">
      <alignment wrapText="1"/>
    </xf>
    <xf numFmtId="0" fontId="22" fillId="0" borderId="0" xfId="0" applyFont="1"/>
    <xf numFmtId="0" fontId="30" fillId="0" borderId="0" xfId="0" applyFont="1"/>
    <xf numFmtId="0" fontId="21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30" fillId="0" borderId="15" xfId="0" applyFont="1" applyBorder="1" applyAlignment="1">
      <alignment wrapText="1"/>
    </xf>
    <xf numFmtId="0" fontId="16" fillId="0" borderId="0" xfId="0" applyFont="1"/>
    <xf numFmtId="0" fontId="15" fillId="2" borderId="10" xfId="0" quotePrefix="1" applyFont="1" applyFill="1" applyBorder="1"/>
    <xf numFmtId="0" fontId="14" fillId="0" borderId="0" xfId="0" quotePrefix="1" applyFont="1"/>
    <xf numFmtId="0" fontId="13" fillId="0" borderId="0" xfId="0" applyFont="1"/>
    <xf numFmtId="0" fontId="12" fillId="0" borderId="0" xfId="0" applyFont="1"/>
    <xf numFmtId="0" fontId="11" fillId="0" borderId="0" xfId="0" applyFont="1"/>
    <xf numFmtId="0" fontId="11" fillId="2" borderId="10" xfId="0" quotePrefix="1" applyFont="1" applyFill="1" applyBorder="1"/>
    <xf numFmtId="0" fontId="10" fillId="2" borderId="5" xfId="0" quotePrefix="1" applyFont="1" applyFill="1" applyBorder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32" fillId="2" borderId="7" xfId="0" applyFont="1" applyFill="1" applyBorder="1" applyAlignment="1">
      <alignment horizontal="center"/>
    </xf>
    <xf numFmtId="0" fontId="32" fillId="2" borderId="8" xfId="0" applyFont="1" applyFill="1" applyBorder="1" applyAlignment="1">
      <alignment horizontal="center"/>
    </xf>
    <xf numFmtId="0" fontId="32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46-4820-8A10-2F95D879A7E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46-4820-8A10-2F95D879A7E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46-4820-8A10-2F95D879A7E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46-4820-8A10-2F95D879A7E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46-4820-8A10-2F95D879A7E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46-4820-8A10-2F95D879A7E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46-4820-8A10-2F95D879A7E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246-4820-8A10-2F95D879A7E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246-4820-8A10-2F95D879A7E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7A2-42F3-B247-E4D54574E91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A89-4F97-9C7F-B86D2AF6561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DFC-47ED-816C-75CCA04E74BC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051-4681-ACE8-469B4C12A49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051-4681-ACE8-469B4C12A4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Level'!$B$4:$B$18</c:f>
              <c:strCache>
                <c:ptCount val="14"/>
                <c:pt idx="0">
                  <c:v>Venus Big</c:v>
                </c:pt>
                <c:pt idx="1">
                  <c:v>April</c:v>
                </c:pt>
                <c:pt idx="2">
                  <c:v>Summer</c:v>
                </c:pt>
                <c:pt idx="3">
                  <c:v>April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Liberville small</c:v>
                </c:pt>
                <c:pt idx="9">
                  <c:v>Libreville Big</c:v>
                </c:pt>
                <c:pt idx="10">
                  <c:v>Guzape</c:v>
                </c:pt>
                <c:pt idx="11">
                  <c:v>Tranquillo big</c:v>
                </c:pt>
                <c:pt idx="12">
                  <c:v>Tranquillo Small</c:v>
                </c:pt>
                <c:pt idx="13">
                  <c:v>Apex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330.6</c:v>
                </c:pt>
                <c:pt idx="1">
                  <c:v>158.25</c:v>
                </c:pt>
                <c:pt idx="2">
                  <c:v>360</c:v>
                </c:pt>
                <c:pt idx="3">
                  <c:v>180</c:v>
                </c:pt>
                <c:pt idx="4">
                  <c:v>205</c:v>
                </c:pt>
                <c:pt idx="5">
                  <c:v>0</c:v>
                </c:pt>
                <c:pt idx="6">
                  <c:v>95</c:v>
                </c:pt>
                <c:pt idx="7">
                  <c:v>124.5</c:v>
                </c:pt>
                <c:pt idx="8">
                  <c:v>450</c:v>
                </c:pt>
                <c:pt idx="9">
                  <c:v>100</c:v>
                </c:pt>
                <c:pt idx="10">
                  <c:v>100</c:v>
                </c:pt>
                <c:pt idx="11">
                  <c:v>223.07</c:v>
                </c:pt>
                <c:pt idx="12">
                  <c:v>283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E-4A3A-9C82-915896F19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4259-4852-A801-0CB0C5A2187A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4259-4852-A801-0CB0C5A2187A}"/>
            </c:ext>
          </c:extLst>
        </c:ser>
        <c:ser>
          <c:idx val="2"/>
          <c:order val="2"/>
          <c:tx>
            <c:strRef>
              <c:f>'Diesel Consumed'!$C$6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4259-4852-A801-0CB0C5A2187A}"/>
            </c:ext>
          </c:extLst>
        </c:ser>
        <c:ser>
          <c:idx val="3"/>
          <c:order val="3"/>
          <c:tx>
            <c:strRef>
              <c:f>'Diesel Consumed'!$C$7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4259-4852-A801-0CB0C5A2187A}"/>
            </c:ext>
          </c:extLst>
        </c:ser>
        <c:ser>
          <c:idx val="4"/>
          <c:order val="4"/>
          <c:tx>
            <c:strRef>
              <c:f>'Diesel Consumed'!$C$8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4259-4852-A801-0CB0C5A2187A}"/>
            </c:ext>
          </c:extLst>
        </c:ser>
        <c:ser>
          <c:idx val="5"/>
          <c:order val="5"/>
          <c:tx>
            <c:strRef>
              <c:f>'Diesel Consumed'!$C$9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4259-4852-A801-0CB0C5A2187A}"/>
            </c:ext>
          </c:extLst>
        </c:ser>
        <c:ser>
          <c:idx val="6"/>
          <c:order val="6"/>
          <c:tx>
            <c:strRef>
              <c:f>'Diesel Consumed'!$C$10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4259-4852-A801-0CB0C5A2187A}"/>
            </c:ext>
          </c:extLst>
        </c:ser>
        <c:ser>
          <c:idx val="7"/>
          <c:order val="7"/>
          <c:tx>
            <c:strRef>
              <c:f>'Diesel Consumed'!$C$11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4259-4852-A801-0CB0C5A2187A}"/>
            </c:ext>
          </c:extLst>
        </c:ser>
        <c:ser>
          <c:idx val="8"/>
          <c:order val="8"/>
          <c:tx>
            <c:strRef>
              <c:f>'Diesel Consumed'!$C$12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4259-4852-A801-0CB0C5A2187A}"/>
            </c:ext>
          </c:extLst>
        </c:ser>
        <c:ser>
          <c:idx val="9"/>
          <c:order val="9"/>
          <c:tx>
            <c:strRef>
              <c:f>'Diesel Consumed'!$C$13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4259-4852-A801-0CB0C5A2187A}"/>
            </c:ext>
          </c:extLst>
        </c:ser>
        <c:ser>
          <c:idx val="10"/>
          <c:order val="10"/>
          <c:tx>
            <c:strRef>
              <c:f>'Diesel Consumed'!$C$14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D-4E46-A890-904CDE83E616}"/>
            </c:ext>
          </c:extLst>
        </c:ser>
        <c:ser>
          <c:idx val="11"/>
          <c:order val="11"/>
          <c:tx>
            <c:strRef>
              <c:f>'Diesel Consumed'!$C$15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1-4D6C-A543-BA18CF2679B9}"/>
            </c:ext>
          </c:extLst>
        </c:ser>
        <c:ser>
          <c:idx val="12"/>
          <c:order val="12"/>
          <c:tx>
            <c:strRef>
              <c:f>'Diesel Consumed'!$C$16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D47-4E6D-A425-3B3C41B067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Hours'!$C$3:$C$15</c:f>
              <c:strCache>
                <c:ptCount val="12"/>
                <c:pt idx="0">
                  <c:v>Venus</c:v>
                </c:pt>
                <c:pt idx="1">
                  <c:v>April</c:v>
                </c:pt>
                <c:pt idx="2">
                  <c:v>Summer</c:v>
                </c:pt>
                <c:pt idx="3">
                  <c:v>April (BIG)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Libreville</c:v>
                </c:pt>
                <c:pt idx="9">
                  <c:v>Guzape</c:v>
                </c:pt>
                <c:pt idx="10">
                  <c:v>Tranquillo Big</c:v>
                </c:pt>
                <c:pt idx="11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1.97</c:v>
                </c:pt>
                <c:pt idx="1">
                  <c:v>2.27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1.74</c:v>
                </c:pt>
                <c:pt idx="7">
                  <c:v>0</c:v>
                </c:pt>
                <c:pt idx="8">
                  <c:v>1.65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8-4EB3-97F4-ECEDD6F158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C-441A-8DD2-EB8DE01348F6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C-441A-8DD2-EB8DE01348F6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0C-441A-8DD2-EB8DE01348F6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0C-441A-8DD2-EB8DE01348F6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0C-441A-8DD2-EB8DE01348F6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0C-441A-8DD2-EB8DE01348F6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0C-441A-8DD2-EB8DE01348F6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0C-441A-8DD2-EB8DE01348F6}"/>
            </c:ext>
          </c:extLst>
        </c:ser>
        <c:ser>
          <c:idx val="8"/>
          <c:order val="8"/>
          <c:tx>
            <c:strRef>
              <c:f>'Diesel Reserve'!$C$12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0-4BCA-9F05-D3630B668C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4-4167-916D-B367BA170731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4-4167-916D-B367BA170731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54-4167-916D-B367BA170731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54-4167-916D-B367BA170731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54-4167-916D-B367BA170731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54-4167-916D-B367BA170731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54-4167-916D-B367BA170731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54-4167-916D-B367BA170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layout>
        <c:manualLayout>
          <c:xMode val="edge"/>
          <c:yMode val="edge"/>
          <c:x val="0.350318058395995"/>
          <c:y val="1.7682932489255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B-4582-A550-EAF3D907E669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B-4582-A550-EAF3D907E669}"/>
            </c:ext>
          </c:extLst>
        </c:ser>
        <c:ser>
          <c:idx val="2"/>
          <c:order val="2"/>
          <c:tx>
            <c:strRef>
              <c:f>'Diesel Consumed'!$C$6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0B-4582-A550-EAF3D907E669}"/>
            </c:ext>
          </c:extLst>
        </c:ser>
        <c:ser>
          <c:idx val="3"/>
          <c:order val="3"/>
          <c:tx>
            <c:strRef>
              <c:f>'Diesel Consumed'!$C$7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0B-4582-A550-EAF3D907E669}"/>
            </c:ext>
          </c:extLst>
        </c:ser>
        <c:ser>
          <c:idx val="4"/>
          <c:order val="4"/>
          <c:tx>
            <c:strRef>
              <c:f>'Diesel Consumed'!$C$8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0B-4582-A550-EAF3D907E669}"/>
            </c:ext>
          </c:extLst>
        </c:ser>
        <c:ser>
          <c:idx val="5"/>
          <c:order val="5"/>
          <c:tx>
            <c:strRef>
              <c:f>'Diesel Consumed'!$C$9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0B-4582-A550-EAF3D907E669}"/>
            </c:ext>
          </c:extLst>
        </c:ser>
        <c:ser>
          <c:idx val="6"/>
          <c:order val="6"/>
          <c:tx>
            <c:strRef>
              <c:f>'Diesel Consumed'!$C$10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0B-4582-A550-EAF3D907E669}"/>
            </c:ext>
          </c:extLst>
        </c:ser>
        <c:ser>
          <c:idx val="7"/>
          <c:order val="7"/>
          <c:tx>
            <c:strRef>
              <c:f>'Diesel Consumed'!$C$11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0B-4582-A550-EAF3D907E669}"/>
            </c:ext>
          </c:extLst>
        </c:ser>
        <c:ser>
          <c:idx val="8"/>
          <c:order val="8"/>
          <c:tx>
            <c:strRef>
              <c:f>'Diesel Consumed'!$C$12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0B-4582-A550-EAF3D907E669}"/>
            </c:ext>
          </c:extLst>
        </c:ser>
        <c:ser>
          <c:idx val="9"/>
          <c:order val="9"/>
          <c:tx>
            <c:strRef>
              <c:f>'Diesel Consumed'!$C$13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0B-4582-A550-EAF3D907E669}"/>
            </c:ext>
          </c:extLst>
        </c:ser>
        <c:ser>
          <c:idx val="10"/>
          <c:order val="10"/>
          <c:tx>
            <c:strRef>
              <c:f>'Diesel Consumed'!$C$14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0B-4582-A550-EAF3D907E669}"/>
            </c:ext>
          </c:extLst>
        </c:ser>
        <c:ser>
          <c:idx val="11"/>
          <c:order val="11"/>
          <c:tx>
            <c:strRef>
              <c:f>'Diesel Consumed'!$C$15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7-4096-8322-ED347908821C}"/>
            </c:ext>
          </c:extLst>
        </c:ser>
        <c:ser>
          <c:idx val="12"/>
          <c:order val="12"/>
          <c:tx>
            <c:strRef>
              <c:f>'Diesel Consumed'!$C$16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127-431B-AB9F-A2A736B1DF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Hours'!$C$3:$C$15</c:f>
              <c:strCache>
                <c:ptCount val="12"/>
                <c:pt idx="0">
                  <c:v>Venus</c:v>
                </c:pt>
                <c:pt idx="1">
                  <c:v>April</c:v>
                </c:pt>
                <c:pt idx="2">
                  <c:v>Summer</c:v>
                </c:pt>
                <c:pt idx="3">
                  <c:v>April (BIG)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Libreville</c:v>
                </c:pt>
                <c:pt idx="9">
                  <c:v>Guzape</c:v>
                </c:pt>
                <c:pt idx="10">
                  <c:v>Tranquillo Big</c:v>
                </c:pt>
                <c:pt idx="11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1.97</c:v>
                </c:pt>
                <c:pt idx="1">
                  <c:v>2.27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1.74</c:v>
                </c:pt>
                <c:pt idx="7">
                  <c:v>0</c:v>
                </c:pt>
                <c:pt idx="8">
                  <c:v>1.65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5-42B6-BC11-4749CE8EDC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0F-4D28-8589-FA807C44739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0F-4D28-8589-FA807C44739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A0F-4D28-8589-FA807C44739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A0F-4D28-8589-FA807C44739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A0F-4D28-8589-FA807C44739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A0F-4D28-8589-FA807C44739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A0F-4D28-8589-FA807C44739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A0F-4D28-8589-FA807C44739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A0F-4D28-8589-FA807C44739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A0F-4D28-8589-FA807C44739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2D-4637-B5B5-255AB666F97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12B-4283-BFF3-F00308EFBF5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3DE-429E-856E-320CB22ECC7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3DE-429E-856E-320CB22ECC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Level'!$B$4:$B$18</c:f>
              <c:strCache>
                <c:ptCount val="14"/>
                <c:pt idx="0">
                  <c:v>Venus Big</c:v>
                </c:pt>
                <c:pt idx="1">
                  <c:v>April</c:v>
                </c:pt>
                <c:pt idx="2">
                  <c:v>Summer</c:v>
                </c:pt>
                <c:pt idx="3">
                  <c:v>April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Liberville small</c:v>
                </c:pt>
                <c:pt idx="9">
                  <c:v>Libreville Big</c:v>
                </c:pt>
                <c:pt idx="10">
                  <c:v>Guzape</c:v>
                </c:pt>
                <c:pt idx="11">
                  <c:v>Tranquillo big</c:v>
                </c:pt>
                <c:pt idx="12">
                  <c:v>Tranquillo Small</c:v>
                </c:pt>
                <c:pt idx="13">
                  <c:v>Apex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330.6</c:v>
                </c:pt>
                <c:pt idx="1">
                  <c:v>158.25</c:v>
                </c:pt>
                <c:pt idx="2">
                  <c:v>360</c:v>
                </c:pt>
                <c:pt idx="3">
                  <c:v>180</c:v>
                </c:pt>
                <c:pt idx="4">
                  <c:v>205</c:v>
                </c:pt>
                <c:pt idx="5">
                  <c:v>0</c:v>
                </c:pt>
                <c:pt idx="6">
                  <c:v>95</c:v>
                </c:pt>
                <c:pt idx="7">
                  <c:v>124.5</c:v>
                </c:pt>
                <c:pt idx="8">
                  <c:v>450</c:v>
                </c:pt>
                <c:pt idx="9">
                  <c:v>100</c:v>
                </c:pt>
                <c:pt idx="10">
                  <c:v>100</c:v>
                </c:pt>
                <c:pt idx="11">
                  <c:v>223.07</c:v>
                </c:pt>
                <c:pt idx="12">
                  <c:v>283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0F-4D28-8589-FA807C447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B39-8A6B-C971B3515CDF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3-4B39-8A6B-C971B3515CDF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3-4B39-8A6B-C971B3515CDF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33-4B39-8A6B-C971B3515CDF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33-4B39-8A6B-C971B3515CDF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33-4B39-8A6B-C971B3515CDF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33-4B39-8A6B-C971B3515CDF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33-4B39-8A6B-C971B3515C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Hours'!$C$3:$C$15</c:f>
              <c:strCache>
                <c:ptCount val="12"/>
                <c:pt idx="0">
                  <c:v>Venus</c:v>
                </c:pt>
                <c:pt idx="1">
                  <c:v>April</c:v>
                </c:pt>
                <c:pt idx="2">
                  <c:v>Summer</c:v>
                </c:pt>
                <c:pt idx="3">
                  <c:v>April (BIG)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Libreville</c:v>
                </c:pt>
                <c:pt idx="9">
                  <c:v>Guzape</c:v>
                </c:pt>
                <c:pt idx="10">
                  <c:v>Tranquillo Big</c:v>
                </c:pt>
                <c:pt idx="11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1.97</c:v>
                </c:pt>
                <c:pt idx="1">
                  <c:v>2.27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1.74</c:v>
                </c:pt>
                <c:pt idx="7">
                  <c:v>0</c:v>
                </c:pt>
                <c:pt idx="8">
                  <c:v>1.65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9-4079-B342-5BAED35B59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9-40A9-99DA-A06B1E58BAB4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9-40A9-99DA-A06B1E58BAB4}"/>
            </c:ext>
          </c:extLst>
        </c:ser>
        <c:ser>
          <c:idx val="2"/>
          <c:order val="2"/>
          <c:tx>
            <c:strRef>
              <c:f>'Diesel Consumed'!$C$6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09-40A9-99DA-A06B1E58BAB4}"/>
            </c:ext>
          </c:extLst>
        </c:ser>
        <c:ser>
          <c:idx val="3"/>
          <c:order val="3"/>
          <c:tx>
            <c:strRef>
              <c:f>'Diesel Consumed'!$C$7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09-40A9-99DA-A06B1E58BAB4}"/>
            </c:ext>
          </c:extLst>
        </c:ser>
        <c:ser>
          <c:idx val="4"/>
          <c:order val="4"/>
          <c:tx>
            <c:strRef>
              <c:f>'Diesel Consumed'!$C$8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09-40A9-99DA-A06B1E58BAB4}"/>
            </c:ext>
          </c:extLst>
        </c:ser>
        <c:ser>
          <c:idx val="5"/>
          <c:order val="5"/>
          <c:tx>
            <c:strRef>
              <c:f>'Diesel Consumed'!$C$9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09-40A9-99DA-A06B1E58BAB4}"/>
            </c:ext>
          </c:extLst>
        </c:ser>
        <c:ser>
          <c:idx val="6"/>
          <c:order val="6"/>
          <c:tx>
            <c:strRef>
              <c:f>'Diesel Consumed'!$C$10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09-40A9-99DA-A06B1E58BAB4}"/>
            </c:ext>
          </c:extLst>
        </c:ser>
        <c:ser>
          <c:idx val="7"/>
          <c:order val="7"/>
          <c:tx>
            <c:strRef>
              <c:f>'Diesel Consumed'!$C$11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09-40A9-99DA-A06B1E58BAB4}"/>
            </c:ext>
          </c:extLst>
        </c:ser>
        <c:ser>
          <c:idx val="8"/>
          <c:order val="8"/>
          <c:tx>
            <c:strRef>
              <c:f>'Diesel Consumed'!$C$12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09-40A9-99DA-A06B1E58BAB4}"/>
            </c:ext>
          </c:extLst>
        </c:ser>
        <c:ser>
          <c:idx val="9"/>
          <c:order val="9"/>
          <c:tx>
            <c:strRef>
              <c:f>'Diesel Consumed'!$C$13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09-40A9-99DA-A06B1E58BAB4}"/>
            </c:ext>
          </c:extLst>
        </c:ser>
        <c:ser>
          <c:idx val="10"/>
          <c:order val="10"/>
          <c:tx>
            <c:strRef>
              <c:f>'Diesel Consumed'!$C$15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09-40A9-99DA-A06B1E58B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Diesel Stock Level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Diesel Stock Level</a:t>
          </a:r>
        </a:p>
      </cx:txPr>
    </cx:title>
    <cx:plotArea>
      <cx:plotAreaRegion>
        <cx:series layoutId="treemap" uniqueId="{0579744B-86EC-4F5B-805E-687D3EF01A93}">
          <cx:tx>
            <cx:txData>
              <cx:f>_xlchart.v1.1</cx:f>
              <cx:v>Diesel Stock Level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200338</xdr:colOff>
      <xdr:row>19</xdr:row>
      <xdr:rowOff>139879</xdr:rowOff>
    </xdr:from>
    <xdr:to>
      <xdr:col>15</xdr:col>
      <xdr:colOff>497267</xdr:colOff>
      <xdr:row>40</xdr:row>
      <xdr:rowOff>171360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D7B20-B6DB-0327-2B91-81CD8F15E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206375</xdr:colOff>
      <xdr:row>3</xdr:row>
      <xdr:rowOff>3175</xdr:rowOff>
    </xdr:from>
    <xdr:to>
      <xdr:col>12</xdr:col>
      <xdr:colOff>511175</xdr:colOff>
      <xdr:row>20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5B4E94-8B4D-E771-499F-9A3A3D45F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244474</xdr:colOff>
      <xdr:row>2</xdr:row>
      <xdr:rowOff>3175</xdr:rowOff>
    </xdr:from>
    <xdr:to>
      <xdr:col>13</xdr:col>
      <xdr:colOff>203199</xdr:colOff>
      <xdr:row>19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E0BBB-FE6B-B633-6E44-17F8B387C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2</xdr:row>
      <xdr:rowOff>3175</xdr:rowOff>
    </xdr:from>
    <xdr:to>
      <xdr:col>12</xdr:col>
      <xdr:colOff>123825</xdr:colOff>
      <xdr:row>17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E80EA-3044-0B34-4872-CB214C82C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62D32A-973C-6A7D-CDBB-CD9B1AA39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750" y="304800"/>
          <a:ext cx="3088234" cy="473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138679</xdr:colOff>
      <xdr:row>19</xdr:row>
      <xdr:rowOff>124445</xdr:rowOff>
    </xdr:from>
    <xdr:to>
      <xdr:col>17</xdr:col>
      <xdr:colOff>788276</xdr:colOff>
      <xdr:row>32</xdr:row>
      <xdr:rowOff>30655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66D05A-D8FB-49D3-B394-4D69B31B4BD9}"/>
            </a:ext>
            <a:ext uri="{147F2762-F138-4A5C-976F-8EAC2B608ADB}">
              <a16:predDERef xmlns:a16="http://schemas.microsoft.com/office/drawing/2014/main" pred="{76B5D0D8-E6F7-4D8E-8B17-74FA4BACE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12681</xdr:colOff>
      <xdr:row>4</xdr:row>
      <xdr:rowOff>79284</xdr:rowOff>
    </xdr:from>
    <xdr:to>
      <xdr:col>8</xdr:col>
      <xdr:colOff>182687</xdr:colOff>
      <xdr:row>16</xdr:row>
      <xdr:rowOff>25454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163D89-611F-40AB-A225-AC903EEA8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157655</xdr:colOff>
      <xdr:row>7</xdr:row>
      <xdr:rowOff>78828</xdr:rowOff>
    </xdr:from>
    <xdr:to>
      <xdr:col>17</xdr:col>
      <xdr:colOff>735724</xdr:colOff>
      <xdr:row>17</xdr:row>
      <xdr:rowOff>118242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6841E9-8D28-47F4-AC75-A2377527D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144518</xdr:colOff>
      <xdr:row>19</xdr:row>
      <xdr:rowOff>131380</xdr:rowOff>
    </xdr:from>
    <xdr:to>
      <xdr:col>7</xdr:col>
      <xdr:colOff>1221828</xdr:colOff>
      <xdr:row>32</xdr:row>
      <xdr:rowOff>52552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AE6C95-E037-4039-BF55-E6C7A5AE6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133350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7663FFA-EDE4-4886-8A9E-DB85197421C9}"/>
            </a:ext>
            <a:ext uri="{147F2762-F138-4A5C-976F-8EAC2B608ADB}">
              <a16:predDERef xmlns:a16="http://schemas.microsoft.com/office/drawing/2014/main" pred="{67D0CE19-3C1E-45B7-ABE4-965BAC5E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303212"/>
          <a:ext cx="3042196" cy="4683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214313</xdr:colOff>
      <xdr:row>19</xdr:row>
      <xdr:rowOff>38100</xdr:rowOff>
    </xdr:from>
    <xdr:to>
      <xdr:col>9</xdr:col>
      <xdr:colOff>500062</xdr:colOff>
      <xdr:row>31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5">
              <a:extLst>
                <a:ext uri="{FF2B5EF4-FFF2-40B4-BE49-F238E27FC236}">
                  <a16:creationId xmlns:a16="http://schemas.microsoft.com/office/drawing/2014/main" id="{D4D34810-EF5B-45E6-BE9D-A8F3DA84C48A}"/>
                </a:ext>
                <a:ext uri="{147F2762-F138-4A5C-976F-8EAC2B608ADB}">
                  <a16:predDERef xmlns:a16="http://schemas.microsoft.com/office/drawing/2014/main" pred="{27663FFA-EDE4-4886-8A9E-DB85197421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3513" y="3810000"/>
              <a:ext cx="6701789" cy="22517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393699</xdr:colOff>
      <xdr:row>19</xdr:row>
      <xdr:rowOff>63500</xdr:rowOff>
    </xdr:from>
    <xdr:to>
      <xdr:col>17</xdr:col>
      <xdr:colOff>801686</xdr:colOff>
      <xdr:row>30</xdr:row>
      <xdr:rowOff>142875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85180FC9-BCE6-4001-AD9D-BD93628AC3D9}"/>
            </a:ext>
            <a:ext uri="{147F2762-F138-4A5C-976F-8EAC2B608ADB}">
              <a16:predDERef xmlns:a16="http://schemas.microsoft.com/office/drawing/2014/main" pred="{D4D34810-EF5B-45E6-BE9D-A8F3DA84C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525859</xdr:colOff>
      <xdr:row>7</xdr:row>
      <xdr:rowOff>39686</xdr:rowOff>
    </xdr:from>
    <xdr:to>
      <xdr:col>17</xdr:col>
      <xdr:colOff>430212</xdr:colOff>
      <xdr:row>16</xdr:row>
      <xdr:rowOff>128983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B0E488-6993-48DC-AA33-A3DAA087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317501</xdr:colOff>
      <xdr:row>5</xdr:row>
      <xdr:rowOff>178594</xdr:rowOff>
    </xdr:from>
    <xdr:to>
      <xdr:col>9</xdr:col>
      <xdr:colOff>446484</xdr:colOff>
      <xdr:row>17</xdr:row>
      <xdr:rowOff>128985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B3B5CE-06B4-4044-827F-8EEE6C360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zoomScaleNormal="100" workbookViewId="0">
      <selection activeCell="Q5" sqref="Q5"/>
    </sheetView>
  </sheetViews>
  <sheetFormatPr defaultColWidth="14.44140625" defaultRowHeight="15" customHeight="1" x14ac:dyDescent="0.3"/>
  <cols>
    <col min="1" max="1" width="8.6640625" customWidth="1"/>
    <col min="2" max="2" width="15.88671875" style="28" customWidth="1"/>
    <col min="3" max="3" width="16.5546875" style="28" customWidth="1"/>
    <col min="4" max="5" width="8.6640625" style="28" customWidth="1"/>
    <col min="6" max="6" width="18" style="28" customWidth="1"/>
    <col min="7" max="7" width="17.6640625" style="28" customWidth="1"/>
    <col min="8" max="8" width="9.109375" style="28" customWidth="1"/>
    <col min="9" max="9" width="9.33203125" style="28" customWidth="1"/>
    <col min="10" max="10" width="14.6640625" style="28" customWidth="1"/>
    <col min="11" max="11" width="11.44140625" style="28" customWidth="1"/>
    <col min="12" max="15" width="8.6640625" style="28" customWidth="1"/>
    <col min="16" max="16" width="11.33203125" style="28" customWidth="1"/>
    <col min="17" max="17" width="18.44140625" style="28" customWidth="1"/>
    <col min="18" max="18" width="8.6640625" style="28" customWidth="1"/>
    <col min="19" max="20" width="8.6640625" customWidth="1"/>
  </cols>
  <sheetData>
    <row r="1" spans="1:17" ht="14.25" customHeight="1" x14ac:dyDescent="0.3">
      <c r="B1" s="3" t="s">
        <v>0</v>
      </c>
      <c r="C1" s="3" t="s">
        <v>1</v>
      </c>
      <c r="D1" s="3"/>
      <c r="E1" s="3"/>
      <c r="F1" s="3" t="s">
        <v>0</v>
      </c>
      <c r="G1" s="3" t="s">
        <v>2</v>
      </c>
      <c r="H1" s="3"/>
      <c r="I1" s="3"/>
      <c r="J1" s="3" t="s">
        <v>0</v>
      </c>
      <c r="K1" s="3" t="s">
        <v>3</v>
      </c>
      <c r="P1" s="28" t="s">
        <v>0</v>
      </c>
      <c r="Q1" s="28" t="s">
        <v>4</v>
      </c>
    </row>
    <row r="2" spans="1:17" ht="14.25" customHeight="1" x14ac:dyDescent="0.3">
      <c r="B2" s="28" t="s">
        <v>5</v>
      </c>
      <c r="C2" s="28">
        <v>330.6</v>
      </c>
      <c r="F2" s="28" t="s">
        <v>5</v>
      </c>
      <c r="G2" s="48">
        <v>6.6</v>
      </c>
      <c r="J2" s="28" t="s">
        <v>5</v>
      </c>
      <c r="K2" s="28">
        <v>1.97</v>
      </c>
      <c r="P2" s="28" t="s">
        <v>6</v>
      </c>
      <c r="Q2" s="28">
        <v>0</v>
      </c>
    </row>
    <row r="3" spans="1:17" ht="14.25" customHeight="1" x14ac:dyDescent="0.3">
      <c r="B3" s="28" t="s">
        <v>7</v>
      </c>
      <c r="C3" s="28">
        <v>158.25</v>
      </c>
      <c r="F3" s="28" t="s">
        <v>7</v>
      </c>
      <c r="G3" s="46">
        <v>0</v>
      </c>
      <c r="J3" s="28" t="s">
        <v>7</v>
      </c>
      <c r="K3" s="28">
        <v>0</v>
      </c>
      <c r="P3" s="28" t="s">
        <v>8</v>
      </c>
      <c r="Q3" s="28">
        <v>0</v>
      </c>
    </row>
    <row r="4" spans="1:17" ht="14.25" customHeight="1" x14ac:dyDescent="0.3">
      <c r="A4" s="13"/>
      <c r="B4" s="28" t="s">
        <v>9</v>
      </c>
      <c r="C4" s="28">
        <v>360</v>
      </c>
      <c r="F4" s="28" t="s">
        <v>9</v>
      </c>
      <c r="G4" s="28">
        <v>15</v>
      </c>
      <c r="J4" s="39" t="s">
        <v>9</v>
      </c>
      <c r="K4" s="28">
        <v>2.27</v>
      </c>
      <c r="P4" s="28" t="s">
        <v>10</v>
      </c>
      <c r="Q4" s="28">
        <v>0</v>
      </c>
    </row>
    <row r="5" spans="1:17" ht="14.25" customHeight="1" x14ac:dyDescent="0.3">
      <c r="B5" s="40" t="s">
        <v>45</v>
      </c>
      <c r="C5" s="53">
        <v>180</v>
      </c>
      <c r="F5" s="48" t="s">
        <v>45</v>
      </c>
      <c r="G5" s="51">
        <v>0</v>
      </c>
      <c r="J5" s="48" t="s">
        <v>45</v>
      </c>
      <c r="K5" s="51">
        <v>0</v>
      </c>
      <c r="P5" s="28" t="s">
        <v>11</v>
      </c>
      <c r="Q5" s="28">
        <v>240</v>
      </c>
    </row>
    <row r="6" spans="1:17" ht="14.25" customHeight="1" x14ac:dyDescent="0.3">
      <c r="B6" s="28" t="s">
        <v>12</v>
      </c>
      <c r="C6" s="28">
        <v>205</v>
      </c>
      <c r="F6" s="28" t="s">
        <v>13</v>
      </c>
      <c r="G6" s="44">
        <v>0</v>
      </c>
      <c r="J6" s="28" t="s">
        <v>13</v>
      </c>
      <c r="K6" s="28">
        <v>0</v>
      </c>
    </row>
    <row r="7" spans="1:17" ht="14.25" customHeight="1" x14ac:dyDescent="0.3">
      <c r="A7" s="13"/>
      <c r="B7" s="28" t="s">
        <v>14</v>
      </c>
      <c r="C7" s="28">
        <v>0</v>
      </c>
      <c r="F7" s="28" t="s">
        <v>14</v>
      </c>
      <c r="G7" s="28">
        <v>0</v>
      </c>
      <c r="J7" s="28" t="s">
        <v>14</v>
      </c>
      <c r="K7" s="28">
        <v>0</v>
      </c>
      <c r="P7" s="28" t="s">
        <v>15</v>
      </c>
      <c r="Q7" s="28">
        <v>0</v>
      </c>
    </row>
    <row r="8" spans="1:17" ht="14.25" customHeight="1" x14ac:dyDescent="0.3">
      <c r="B8" s="28" t="s">
        <v>8</v>
      </c>
      <c r="C8" s="29">
        <v>95</v>
      </c>
      <c r="F8" s="28" t="s">
        <v>8</v>
      </c>
      <c r="G8" s="51">
        <v>13</v>
      </c>
      <c r="J8" s="28" t="s">
        <v>8</v>
      </c>
      <c r="K8" s="36">
        <v>3</v>
      </c>
      <c r="P8" s="28" t="s">
        <v>16</v>
      </c>
      <c r="Q8" s="28">
        <v>0</v>
      </c>
    </row>
    <row r="9" spans="1:17" ht="14.25" customHeight="1" x14ac:dyDescent="0.3">
      <c r="A9" s="13"/>
      <c r="B9" s="28" t="s">
        <v>10</v>
      </c>
      <c r="C9" s="50">
        <v>124.5</v>
      </c>
      <c r="F9" s="28" t="s">
        <v>10</v>
      </c>
      <c r="G9" s="38">
        <v>2</v>
      </c>
      <c r="J9" s="28" t="s">
        <v>10</v>
      </c>
      <c r="K9" s="30">
        <v>1.74</v>
      </c>
      <c r="P9" s="28" t="s">
        <v>17</v>
      </c>
      <c r="Q9" s="28">
        <v>0</v>
      </c>
    </row>
    <row r="10" spans="1:17" ht="14.25" customHeight="1" x14ac:dyDescent="0.3">
      <c r="B10" s="28" t="s">
        <v>18</v>
      </c>
      <c r="C10" s="28">
        <v>450</v>
      </c>
      <c r="F10" s="28" t="s">
        <v>18</v>
      </c>
      <c r="G10" s="28">
        <v>25</v>
      </c>
      <c r="J10" s="28" t="s">
        <v>18</v>
      </c>
      <c r="K10" s="33">
        <v>0</v>
      </c>
      <c r="P10" s="28" t="s">
        <v>19</v>
      </c>
      <c r="Q10" s="28">
        <v>0</v>
      </c>
    </row>
    <row r="11" spans="1:17" ht="14.25" customHeight="1" x14ac:dyDescent="0.3">
      <c r="B11" s="28" t="s">
        <v>20</v>
      </c>
      <c r="C11" s="34">
        <v>450</v>
      </c>
      <c r="F11" s="28" t="s">
        <v>20</v>
      </c>
      <c r="G11" s="51">
        <v>0</v>
      </c>
      <c r="J11" s="28" t="s">
        <v>20</v>
      </c>
      <c r="K11" s="33">
        <v>0</v>
      </c>
      <c r="P11" s="28" t="s">
        <v>36</v>
      </c>
      <c r="Q11" s="28">
        <v>0</v>
      </c>
    </row>
    <row r="12" spans="1:17" ht="14.25" customHeight="1" x14ac:dyDescent="0.3">
      <c r="A12" s="13"/>
      <c r="B12" s="28" t="s">
        <v>21</v>
      </c>
      <c r="C12" s="32">
        <v>100</v>
      </c>
      <c r="F12" s="28" t="s">
        <v>21</v>
      </c>
      <c r="G12" s="28">
        <v>28</v>
      </c>
      <c r="J12" s="28" t="s">
        <v>21</v>
      </c>
      <c r="K12" s="28">
        <v>1.65</v>
      </c>
    </row>
    <row r="13" spans="1:17" ht="14.25" customHeight="1" x14ac:dyDescent="0.3">
      <c r="A13" s="13"/>
      <c r="B13" s="28" t="s">
        <v>22</v>
      </c>
      <c r="C13" s="28">
        <v>100</v>
      </c>
      <c r="F13" s="28" t="s">
        <v>22</v>
      </c>
      <c r="G13" s="28">
        <v>0</v>
      </c>
      <c r="J13" s="28" t="s">
        <v>22</v>
      </c>
      <c r="K13" s="28">
        <v>0</v>
      </c>
    </row>
    <row r="14" spans="1:17" ht="14.25" customHeight="1" x14ac:dyDescent="0.3">
      <c r="A14" s="13"/>
      <c r="B14" s="28" t="s">
        <v>19</v>
      </c>
      <c r="C14" s="28">
        <v>223.07</v>
      </c>
      <c r="F14" s="28" t="s">
        <v>19</v>
      </c>
      <c r="G14" s="51">
        <v>0</v>
      </c>
      <c r="J14" s="28" t="s">
        <v>19</v>
      </c>
      <c r="K14" s="51">
        <v>0</v>
      </c>
    </row>
    <row r="15" spans="1:17" ht="14.25" customHeight="1" x14ac:dyDescent="0.3">
      <c r="B15" s="28" t="s">
        <v>23</v>
      </c>
      <c r="C15" s="31">
        <v>283</v>
      </c>
      <c r="F15" s="28" t="s">
        <v>23</v>
      </c>
      <c r="G15" s="51">
        <v>0</v>
      </c>
      <c r="J15" s="28" t="s">
        <v>23</v>
      </c>
      <c r="K15" s="51">
        <v>0</v>
      </c>
    </row>
    <row r="16" spans="1:17" ht="14.25" customHeight="1" x14ac:dyDescent="0.3">
      <c r="A16" s="17"/>
      <c r="B16" s="28" t="s">
        <v>24</v>
      </c>
      <c r="C16" s="49">
        <v>402</v>
      </c>
      <c r="F16" s="28" t="s">
        <v>24</v>
      </c>
      <c r="G16" s="51">
        <v>0</v>
      </c>
      <c r="J16" s="28" t="s">
        <v>24</v>
      </c>
      <c r="K16" s="52">
        <v>0</v>
      </c>
    </row>
    <row r="17" spans="2:11" ht="14.25" customHeight="1" x14ac:dyDescent="0.3"/>
    <row r="18" spans="2:11" ht="14.25" customHeight="1" x14ac:dyDescent="0.3"/>
    <row r="19" spans="2:11" ht="14.25" customHeight="1" x14ac:dyDescent="0.3"/>
    <row r="20" spans="2:11" ht="14.25" customHeight="1" x14ac:dyDescent="0.3">
      <c r="B20" s="28" t="s">
        <v>0</v>
      </c>
      <c r="C20" s="47" t="s">
        <v>1</v>
      </c>
      <c r="F20" s="28" t="s">
        <v>0</v>
      </c>
      <c r="G20" s="28" t="s">
        <v>2</v>
      </c>
      <c r="J20" s="28" t="s">
        <v>0</v>
      </c>
      <c r="K20" s="28" t="s">
        <v>25</v>
      </c>
    </row>
    <row r="21" spans="2:11" ht="14.25" customHeight="1" x14ac:dyDescent="0.3">
      <c r="B21" s="28" t="s">
        <v>26</v>
      </c>
      <c r="C21" s="28">
        <v>1000</v>
      </c>
      <c r="F21" s="28" t="s">
        <v>26</v>
      </c>
      <c r="G21" s="28">
        <v>0</v>
      </c>
      <c r="J21" s="28" t="s">
        <v>26</v>
      </c>
      <c r="K21" s="28">
        <v>0</v>
      </c>
    </row>
    <row r="22" spans="2:11" ht="14.25" customHeight="1" x14ac:dyDescent="0.3">
      <c r="B22" s="28" t="s">
        <v>27</v>
      </c>
      <c r="C22" s="28">
        <v>0</v>
      </c>
      <c r="F22" s="28" t="s">
        <v>27</v>
      </c>
      <c r="G22" s="28">
        <v>0</v>
      </c>
      <c r="J22" s="28" t="s">
        <v>28</v>
      </c>
      <c r="K22" s="28">
        <v>0</v>
      </c>
    </row>
    <row r="23" spans="2:11" ht="14.25" customHeight="1" x14ac:dyDescent="0.3"/>
    <row r="24" spans="2:11" ht="14.25" customHeight="1" x14ac:dyDescent="0.3">
      <c r="H24" s="45" t="s">
        <v>44</v>
      </c>
    </row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7:7" ht="14.25" customHeight="1" x14ac:dyDescent="0.3"/>
    <row r="50" spans="7:7" ht="14.25" customHeight="1" x14ac:dyDescent="0.3"/>
    <row r="51" spans="7:7" ht="14.25" customHeight="1" x14ac:dyDescent="0.3"/>
    <row r="52" spans="7:7" ht="14.25" customHeight="1" x14ac:dyDescent="0.3"/>
    <row r="53" spans="7:7" ht="14.25" customHeight="1" x14ac:dyDescent="0.3"/>
    <row r="54" spans="7:7" ht="14.25" customHeight="1" x14ac:dyDescent="0.3"/>
    <row r="55" spans="7:7" ht="14.25" customHeight="1" x14ac:dyDescent="0.3"/>
    <row r="56" spans="7:7" ht="14.25" customHeight="1" x14ac:dyDescent="0.3"/>
    <row r="57" spans="7:7" ht="14.25" customHeight="1" x14ac:dyDescent="0.3"/>
    <row r="58" spans="7:7" ht="14.25" customHeight="1" x14ac:dyDescent="0.3"/>
    <row r="59" spans="7:7" ht="14.25" customHeight="1" x14ac:dyDescent="0.3"/>
    <row r="60" spans="7:7" ht="14.25" customHeight="1" x14ac:dyDescent="0.3"/>
    <row r="61" spans="7:7" ht="14.25" customHeight="1" x14ac:dyDescent="0.3">
      <c r="G61" s="28">
        <v>11</v>
      </c>
    </row>
    <row r="62" spans="7:7" ht="14.25" customHeight="1" x14ac:dyDescent="0.3"/>
    <row r="63" spans="7:7" ht="14.25" customHeight="1" x14ac:dyDescent="0.3"/>
    <row r="64" spans="7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3"/>
  <sheetViews>
    <sheetView zoomScale="71" workbookViewId="0">
      <selection activeCell="E24" sqref="E24"/>
    </sheetView>
  </sheetViews>
  <sheetFormatPr defaultColWidth="14.44140625" defaultRowHeight="15" customHeight="1" x14ac:dyDescent="0.3"/>
  <cols>
    <col min="1" max="1" width="8.6640625" customWidth="1"/>
    <col min="2" max="2" width="14.5546875" bestFit="1" customWidth="1"/>
    <col min="3" max="3" width="16.33203125" customWidth="1"/>
    <col min="4" max="26" width="8.6640625" customWidth="1"/>
  </cols>
  <sheetData>
    <row r="1" spans="2:3" ht="14.25" customHeight="1" x14ac:dyDescent="0.3"/>
    <row r="2" spans="2:3" ht="14.25" customHeight="1" x14ac:dyDescent="0.3">
      <c r="B2" s="1" t="s">
        <v>0</v>
      </c>
      <c r="C2" s="1" t="s">
        <v>1</v>
      </c>
    </row>
    <row r="3" spans="2:3" ht="14.25" customHeight="1" x14ac:dyDescent="0.3">
      <c r="B3" s="1" t="s">
        <v>50</v>
      </c>
      <c r="C3" s="2">
        <f>SUM(Sheet1!C2)</f>
        <v>330.6</v>
      </c>
    </row>
    <row r="4" spans="2:3" ht="14.25" customHeight="1" x14ac:dyDescent="0.3">
      <c r="B4" s="2" t="s">
        <v>51</v>
      </c>
      <c r="C4" s="2">
        <f>SUM(Sheet1!C3)</f>
        <v>158.25</v>
      </c>
    </row>
    <row r="5" spans="2:3" ht="14.25" customHeight="1" x14ac:dyDescent="0.3">
      <c r="B5" s="2" t="s">
        <v>6</v>
      </c>
      <c r="C5" s="2">
        <f>(Sheet1!C4)</f>
        <v>360</v>
      </c>
    </row>
    <row r="6" spans="2:3" ht="14.25" customHeight="1" x14ac:dyDescent="0.3">
      <c r="B6" s="2" t="s">
        <v>45</v>
      </c>
      <c r="C6" s="2">
        <f>(Sheet1!C5)</f>
        <v>180</v>
      </c>
    </row>
    <row r="7" spans="2:3" ht="14.25" customHeight="1" x14ac:dyDescent="0.3">
      <c r="B7" s="2" t="s">
        <v>6</v>
      </c>
      <c r="C7" s="2">
        <f>(Sheet1!C6)</f>
        <v>205</v>
      </c>
    </row>
    <row r="8" spans="2:3" ht="14.25" customHeight="1" x14ac:dyDescent="0.3">
      <c r="B8" s="2" t="s">
        <v>14</v>
      </c>
      <c r="C8" s="2">
        <f>(Sheet1!C7)</f>
        <v>0</v>
      </c>
    </row>
    <row r="9" spans="2:3" ht="14.25" customHeight="1" x14ac:dyDescent="0.3">
      <c r="B9" s="2" t="s">
        <v>8</v>
      </c>
      <c r="C9" s="2">
        <f>(Sheet1!C8)</f>
        <v>95</v>
      </c>
    </row>
    <row r="10" spans="2:3" ht="14.25" customHeight="1" x14ac:dyDescent="0.3">
      <c r="B10" s="2" t="s">
        <v>10</v>
      </c>
      <c r="C10" s="2">
        <f>(Sheet1!C9)</f>
        <v>124.5</v>
      </c>
    </row>
    <row r="11" spans="2:3" ht="14.25" customHeight="1" x14ac:dyDescent="0.3">
      <c r="B11" s="2" t="s">
        <v>16</v>
      </c>
      <c r="C11" s="2">
        <f>(Sheet1!C10)</f>
        <v>450</v>
      </c>
    </row>
    <row r="12" spans="2:3" ht="14.25" customHeight="1" x14ac:dyDescent="0.3">
      <c r="B12" s="2" t="s">
        <v>48</v>
      </c>
      <c r="C12" s="2">
        <f>(Sheet1!C12)</f>
        <v>100</v>
      </c>
    </row>
    <row r="13" spans="2:3" ht="14.25" customHeight="1" x14ac:dyDescent="0.3">
      <c r="B13" s="2" t="s">
        <v>49</v>
      </c>
      <c r="C13" s="2">
        <f>Sheet1!C13</f>
        <v>100</v>
      </c>
    </row>
    <row r="14" spans="2:3" ht="14.4" x14ac:dyDescent="0.3">
      <c r="B14" s="2" t="s">
        <v>19</v>
      </c>
      <c r="C14" s="29">
        <f>Sheet1!C14</f>
        <v>223.07</v>
      </c>
    </row>
    <row r="15" spans="2:3" ht="14.25" customHeight="1" x14ac:dyDescent="0.3">
      <c r="B15" s="2" t="s">
        <v>43</v>
      </c>
      <c r="C15">
        <f>Sheet1!C15</f>
        <v>283</v>
      </c>
    </row>
    <row r="16" spans="2:3" ht="14.25" customHeight="1" x14ac:dyDescent="0.3">
      <c r="B16" s="35" t="s">
        <v>42</v>
      </c>
      <c r="C16">
        <f>Sheet1!C16</f>
        <v>402</v>
      </c>
    </row>
    <row r="17" spans="2:3" ht="14.25" customHeight="1" x14ac:dyDescent="0.3">
      <c r="B17" s="25" t="s">
        <v>40</v>
      </c>
    </row>
    <row r="18" spans="2:3" ht="14.25" customHeight="1" x14ac:dyDescent="0.3">
      <c r="B18" s="28"/>
      <c r="C18" s="13">
        <f>SUM(C3:C15)</f>
        <v>2609.42</v>
      </c>
    </row>
    <row r="19" spans="2:3" ht="14.25" customHeight="1" x14ac:dyDescent="0.3"/>
    <row r="20" spans="2:3" ht="14.25" customHeight="1" x14ac:dyDescent="0.3"/>
    <row r="21" spans="2:3" ht="14.25" customHeight="1" x14ac:dyDescent="0.3"/>
    <row r="22" spans="2:3" ht="14.25" customHeight="1" x14ac:dyDescent="0.3"/>
    <row r="23" spans="2:3" ht="14.25" customHeight="1" x14ac:dyDescent="0.3"/>
    <row r="24" spans="2:3" ht="14.25" customHeight="1" x14ac:dyDescent="0.3"/>
    <row r="25" spans="2:3" ht="14.25" customHeight="1" x14ac:dyDescent="0.3"/>
    <row r="26" spans="2:3" ht="14.25" customHeight="1" x14ac:dyDescent="0.3"/>
    <row r="27" spans="2:3" ht="14.25" customHeight="1" x14ac:dyDescent="0.3"/>
    <row r="28" spans="2:3" ht="14.25" customHeight="1" x14ac:dyDescent="0.3"/>
    <row r="29" spans="2:3" ht="14.25" customHeight="1" x14ac:dyDescent="0.3"/>
    <row r="30" spans="2:3" ht="14.25" customHeight="1" x14ac:dyDescent="0.3"/>
    <row r="31" spans="2:3" ht="14.25" customHeight="1" x14ac:dyDescent="0.3"/>
    <row r="32" spans="2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D1002"/>
  <sheetViews>
    <sheetView workbookViewId="0">
      <selection activeCell="D5" sqref="D5"/>
    </sheetView>
  </sheetViews>
  <sheetFormatPr defaultColWidth="14.44140625" defaultRowHeight="15" customHeight="1" x14ac:dyDescent="0.3"/>
  <cols>
    <col min="1" max="2" width="8.6640625" customWidth="1"/>
    <col min="3" max="3" width="14.6640625" customWidth="1"/>
    <col min="4" max="4" width="16.332031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2</v>
      </c>
    </row>
    <row r="3" spans="3:4" ht="14.25" customHeight="1" x14ac:dyDescent="0.3">
      <c r="C3" s="2" t="s">
        <v>17</v>
      </c>
      <c r="D3" s="2">
        <f>SUM(Sheet1!G2:G3)</f>
        <v>6.6</v>
      </c>
    </row>
    <row r="4" spans="3:4" ht="14.25" customHeight="1" x14ac:dyDescent="0.3">
      <c r="C4" s="2" t="s">
        <v>6</v>
      </c>
      <c r="D4" s="2">
        <f>Sheet1!G4</f>
        <v>15</v>
      </c>
    </row>
    <row r="5" spans="3:4" ht="14.25" customHeight="1" x14ac:dyDescent="0.3">
      <c r="C5" s="2" t="s">
        <v>45</v>
      </c>
      <c r="D5" s="2">
        <f>Sheet1!G5</f>
        <v>0</v>
      </c>
    </row>
    <row r="6" spans="3:4" ht="14.25" customHeight="1" x14ac:dyDescent="0.3">
      <c r="C6" s="2" t="s">
        <v>13</v>
      </c>
      <c r="D6" s="2">
        <f>(Sheet1!G7)</f>
        <v>0</v>
      </c>
    </row>
    <row r="7" spans="3:4" ht="14.25" customHeight="1" x14ac:dyDescent="0.3">
      <c r="C7" s="2" t="s">
        <v>14</v>
      </c>
      <c r="D7" s="2">
        <f>(Sheet1!G8)</f>
        <v>13</v>
      </c>
    </row>
    <row r="8" spans="3:4" ht="14.25" customHeight="1" x14ac:dyDescent="0.3">
      <c r="C8" s="2" t="s">
        <v>8</v>
      </c>
      <c r="D8" s="2">
        <f>(Sheet1!G9)</f>
        <v>2</v>
      </c>
    </row>
    <row r="9" spans="3:4" ht="14.25" customHeight="1" x14ac:dyDescent="0.3">
      <c r="C9" s="2" t="s">
        <v>10</v>
      </c>
      <c r="D9" s="2">
        <f>SUM(Sheet1!G10:G11)</f>
        <v>25</v>
      </c>
    </row>
    <row r="10" spans="3:4" ht="14.25" customHeight="1" x14ac:dyDescent="0.3">
      <c r="C10" s="2" t="s">
        <v>16</v>
      </c>
      <c r="D10" s="2">
        <f>SUM(Sheet1!G12:G13)</f>
        <v>28</v>
      </c>
    </row>
    <row r="11" spans="3:4" ht="14.25" customHeight="1" x14ac:dyDescent="0.3">
      <c r="C11" s="2" t="s">
        <v>11</v>
      </c>
      <c r="D11" s="2">
        <f>(Sheet1!G14)</f>
        <v>0</v>
      </c>
    </row>
    <row r="12" spans="3:4" ht="14.25" customHeight="1" x14ac:dyDescent="0.3">
      <c r="C12" s="2" t="s">
        <v>19</v>
      </c>
      <c r="D12" s="2">
        <f>Sheet1!G16</f>
        <v>0</v>
      </c>
    </row>
    <row r="13" spans="3:4" ht="14.25" customHeight="1" x14ac:dyDescent="0.3">
      <c r="C13" s="2" t="s">
        <v>41</v>
      </c>
      <c r="D13" s="29">
        <f>Sheet1!G15</f>
        <v>0</v>
      </c>
    </row>
    <row r="14" spans="3:4" ht="14.25" customHeight="1" x14ac:dyDescent="0.3">
      <c r="C14" s="2" t="s">
        <v>42</v>
      </c>
      <c r="D14">
        <f>Sheet1!G5</f>
        <v>0</v>
      </c>
    </row>
    <row r="15" spans="3:4" ht="14.25" customHeight="1" x14ac:dyDescent="0.3">
      <c r="C15" s="25" t="s">
        <v>40</v>
      </c>
      <c r="D15" s="28"/>
    </row>
    <row r="16" spans="3:4" ht="14.25" customHeight="1" x14ac:dyDescent="0.3">
      <c r="C16" s="28"/>
      <c r="D16">
        <f>SUM(D3:D15)</f>
        <v>89.6</v>
      </c>
    </row>
    <row r="17" spans="4:4" ht="14.25" customHeight="1" x14ac:dyDescent="0.3"/>
    <row r="18" spans="4:4" ht="14.25" customHeight="1" x14ac:dyDescent="0.3">
      <c r="D18" s="13"/>
    </row>
    <row r="19" spans="4:4" ht="14.25" customHeight="1" x14ac:dyDescent="0.3"/>
    <row r="20" spans="4:4" ht="14.25" customHeight="1" x14ac:dyDescent="0.3"/>
    <row r="21" spans="4:4" ht="14.25" customHeight="1" x14ac:dyDescent="0.3"/>
    <row r="22" spans="4:4" ht="14.25" customHeight="1" x14ac:dyDescent="0.3"/>
    <row r="23" spans="4:4" ht="14.25" customHeight="1" x14ac:dyDescent="0.3"/>
    <row r="24" spans="4:4" ht="14.25" customHeight="1" x14ac:dyDescent="0.3"/>
    <row r="25" spans="4:4" ht="14.25" customHeight="1" x14ac:dyDescent="0.3"/>
    <row r="26" spans="4:4" ht="14.25" customHeight="1" x14ac:dyDescent="0.3"/>
    <row r="27" spans="4:4" ht="14.25" customHeight="1" x14ac:dyDescent="0.3"/>
    <row r="28" spans="4:4" ht="14.25" customHeight="1" x14ac:dyDescent="0.3"/>
    <row r="29" spans="4:4" ht="14.25" customHeight="1" x14ac:dyDescent="0.3"/>
    <row r="30" spans="4:4" ht="14.25" customHeight="1" x14ac:dyDescent="0.3"/>
    <row r="31" spans="4:4" ht="14.25" customHeight="1" x14ac:dyDescent="0.3"/>
    <row r="32" spans="4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02"/>
  <sheetViews>
    <sheetView topLeftCell="B1" zoomScale="91" workbookViewId="0">
      <selection activeCell="D11" sqref="D11"/>
    </sheetView>
  </sheetViews>
  <sheetFormatPr defaultColWidth="14.44140625" defaultRowHeight="15" customHeight="1" x14ac:dyDescent="0.3"/>
  <cols>
    <col min="1" max="2" width="8.6640625" customWidth="1"/>
    <col min="3" max="3" width="31.88671875" customWidth="1"/>
    <col min="4" max="4" width="24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3</v>
      </c>
    </row>
    <row r="3" spans="3:4" ht="14.25" customHeight="1" x14ac:dyDescent="0.3">
      <c r="C3" s="2" t="s">
        <v>17</v>
      </c>
      <c r="D3" s="2">
        <f>SUM(Sheet1!K2:K3)</f>
        <v>1.97</v>
      </c>
    </row>
    <row r="4" spans="3:4" ht="14.25" customHeight="1" x14ac:dyDescent="0.3">
      <c r="C4" s="2" t="s">
        <v>6</v>
      </c>
      <c r="D4" s="2">
        <f>SUM(Sheet1!K4:K4)</f>
        <v>2.27</v>
      </c>
    </row>
    <row r="5" spans="3:4" ht="14.25" customHeight="1" x14ac:dyDescent="0.3">
      <c r="C5" s="2" t="s">
        <v>45</v>
      </c>
      <c r="D5" s="2">
        <f>Sheet1!K5</f>
        <v>0</v>
      </c>
    </row>
    <row r="6" spans="3:4" ht="14.25" customHeight="1" x14ac:dyDescent="0.3">
      <c r="C6" s="2" t="s">
        <v>12</v>
      </c>
      <c r="D6" s="2">
        <f>Sheet1!K6</f>
        <v>0</v>
      </c>
    </row>
    <row r="7" spans="3:4" ht="14.25" customHeight="1" x14ac:dyDescent="0.3">
      <c r="C7" s="2" t="s">
        <v>14</v>
      </c>
      <c r="D7" s="2">
        <f>Sheet1!K7</f>
        <v>0</v>
      </c>
    </row>
    <row r="8" spans="3:4" ht="14.25" customHeight="1" x14ac:dyDescent="0.3">
      <c r="C8" s="2" t="s">
        <v>8</v>
      </c>
      <c r="D8" s="2">
        <f>Sheet1!K8</f>
        <v>3</v>
      </c>
    </row>
    <row r="9" spans="3:4" ht="14.25" customHeight="1" x14ac:dyDescent="0.3">
      <c r="C9" s="2" t="s">
        <v>10</v>
      </c>
      <c r="D9" s="2">
        <f>Sheet1!K9</f>
        <v>1.74</v>
      </c>
    </row>
    <row r="10" spans="3:4" ht="14.25" customHeight="1" x14ac:dyDescent="0.3">
      <c r="C10" s="2" t="s">
        <v>16</v>
      </c>
      <c r="D10" s="2">
        <f>SUM(Sheet1!K10:K11)</f>
        <v>0</v>
      </c>
    </row>
    <row r="11" spans="3:4" ht="14.25" customHeight="1" x14ac:dyDescent="0.3">
      <c r="C11" s="2" t="s">
        <v>11</v>
      </c>
      <c r="D11" s="2">
        <f>SUM(Sheet1!K12:K13)</f>
        <v>1.65</v>
      </c>
    </row>
    <row r="12" spans="3:4" ht="14.25" customHeight="1" x14ac:dyDescent="0.3">
      <c r="C12" s="2" t="s">
        <v>19</v>
      </c>
      <c r="D12" s="2">
        <f>Sheet1!K14</f>
        <v>0</v>
      </c>
    </row>
    <row r="13" spans="3:4" ht="14.25" customHeight="1" x14ac:dyDescent="0.3">
      <c r="C13" s="2" t="s">
        <v>41</v>
      </c>
      <c r="D13" s="29">
        <f>Sheet1!K15</f>
        <v>0</v>
      </c>
    </row>
    <row r="14" spans="3:4" ht="14.25" customHeight="1" x14ac:dyDescent="0.3">
      <c r="C14" s="2" t="s">
        <v>42</v>
      </c>
      <c r="D14" s="28">
        <f>Sheet1!K15</f>
        <v>0</v>
      </c>
    </row>
    <row r="15" spans="3:4" ht="14.25" customHeight="1" x14ac:dyDescent="0.3">
      <c r="C15" s="28"/>
      <c r="D15" s="28"/>
    </row>
    <row r="16" spans="3:4" ht="14.25" customHeight="1" x14ac:dyDescent="0.3">
      <c r="C16" s="28"/>
      <c r="D16" s="13">
        <f>SUM(D3:D14)</f>
        <v>10.63</v>
      </c>
    </row>
    <row r="17" spans="2:4" ht="14.25" customHeight="1" x14ac:dyDescent="0.3">
      <c r="D17" s="13">
        <f>B19/D16</f>
        <v>8.4289746001881465</v>
      </c>
    </row>
    <row r="18" spans="2:4" ht="14.25" customHeight="1" x14ac:dyDescent="0.3"/>
    <row r="19" spans="2:4" ht="14.25" customHeight="1" x14ac:dyDescent="0.3">
      <c r="B19">
        <f>'Diesel Consumed'!D16</f>
        <v>89.6</v>
      </c>
    </row>
    <row r="20" spans="2:4" ht="14.25" customHeight="1" x14ac:dyDescent="0.3"/>
    <row r="21" spans="2:4" ht="14.25" customHeight="1" x14ac:dyDescent="0.3"/>
    <row r="22" spans="2:4" ht="14.25" customHeight="1" x14ac:dyDescent="0.3"/>
    <row r="23" spans="2:4" ht="14.25" customHeight="1" x14ac:dyDescent="0.3"/>
    <row r="24" spans="2:4" ht="14.25" customHeight="1" x14ac:dyDescent="0.3"/>
    <row r="25" spans="2:4" ht="14.25" customHeight="1" x14ac:dyDescent="0.3"/>
    <row r="26" spans="2:4" ht="14.25" customHeight="1" x14ac:dyDescent="0.3"/>
    <row r="27" spans="2:4" ht="14.25" customHeight="1" x14ac:dyDescent="0.3"/>
    <row r="28" spans="2:4" ht="14.25" customHeight="1" x14ac:dyDescent="0.3"/>
    <row r="29" spans="2:4" ht="14.25" customHeight="1" x14ac:dyDescent="0.3"/>
    <row r="30" spans="2:4" ht="14.25" customHeight="1" x14ac:dyDescent="0.3"/>
    <row r="31" spans="2:4" ht="14.25" customHeight="1" x14ac:dyDescent="0.3"/>
    <row r="32" spans="2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D1000"/>
  <sheetViews>
    <sheetView topLeftCell="A2" zoomScale="90" workbookViewId="0">
      <selection activeCell="D33" sqref="D33"/>
    </sheetView>
  </sheetViews>
  <sheetFormatPr defaultColWidth="14.44140625" defaultRowHeight="15" customHeight="1" x14ac:dyDescent="0.3"/>
  <cols>
    <col min="1" max="2" width="8.6640625" customWidth="1"/>
    <col min="3" max="3" width="9.33203125" customWidth="1"/>
    <col min="4" max="4" width="18.44140625" customWidth="1"/>
    <col min="5" max="26" width="8.6640625" customWidth="1"/>
  </cols>
  <sheetData>
    <row r="1" spans="3:4" ht="14.25" customHeight="1" x14ac:dyDescent="0.3"/>
    <row r="2" spans="3:4" ht="14.25" customHeight="1" x14ac:dyDescent="0.3"/>
    <row r="3" spans="3:4" ht="14.25" customHeight="1" x14ac:dyDescent="0.3">
      <c r="C3" s="13" t="s">
        <v>0</v>
      </c>
      <c r="D3" s="13" t="s">
        <v>4</v>
      </c>
    </row>
    <row r="4" spans="3:4" ht="14.25" customHeight="1" x14ac:dyDescent="0.3">
      <c r="C4" s="13" t="s">
        <v>6</v>
      </c>
      <c r="D4" s="13">
        <v>0</v>
      </c>
    </row>
    <row r="5" spans="3:4" ht="14.25" customHeight="1" x14ac:dyDescent="0.3">
      <c r="C5" s="13" t="s">
        <v>8</v>
      </c>
      <c r="D5" s="13">
        <v>0</v>
      </c>
    </row>
    <row r="6" spans="3:4" ht="14.25" customHeight="1" x14ac:dyDescent="0.3">
      <c r="C6" s="13" t="s">
        <v>10</v>
      </c>
      <c r="D6" s="13">
        <v>0</v>
      </c>
    </row>
    <row r="7" spans="3:4" ht="14.25" customHeight="1" x14ac:dyDescent="0.3">
      <c r="C7" s="13" t="s">
        <v>11</v>
      </c>
      <c r="D7" s="13">
        <v>240</v>
      </c>
    </row>
    <row r="8" spans="3:4" ht="14.25" customHeight="1" x14ac:dyDescent="0.3">
      <c r="C8" s="13" t="s">
        <v>15</v>
      </c>
      <c r="D8" s="13">
        <v>0</v>
      </c>
    </row>
    <row r="9" spans="3:4" ht="14.25" customHeight="1" x14ac:dyDescent="0.3">
      <c r="C9" s="13" t="s">
        <v>16</v>
      </c>
      <c r="D9" s="13">
        <f>(Sheet1!Q8)</f>
        <v>0</v>
      </c>
    </row>
    <row r="10" spans="3:4" ht="14.25" customHeight="1" x14ac:dyDescent="0.3">
      <c r="C10" s="13" t="s">
        <v>17</v>
      </c>
      <c r="D10" s="13">
        <f>(Sheet1!Q9)</f>
        <v>0</v>
      </c>
    </row>
    <row r="11" spans="3:4" ht="14.25" customHeight="1" x14ac:dyDescent="0.3">
      <c r="C11" s="13" t="s">
        <v>19</v>
      </c>
      <c r="D11" s="13">
        <v>0</v>
      </c>
    </row>
    <row r="12" spans="3:4" ht="14.25" customHeight="1" x14ac:dyDescent="0.3">
      <c r="C12" s="41" t="s">
        <v>45</v>
      </c>
      <c r="D12">
        <v>0</v>
      </c>
    </row>
    <row r="13" spans="3:4" ht="14.25" customHeight="1" x14ac:dyDescent="0.3"/>
    <row r="14" spans="3:4" ht="14.25" customHeight="1" x14ac:dyDescent="0.3"/>
    <row r="15" spans="3:4" ht="14.25" customHeight="1" x14ac:dyDescent="0.3">
      <c r="D15" s="13">
        <f>SUM(D4:D11)</f>
        <v>240</v>
      </c>
    </row>
    <row r="16" spans="3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1CAB-689A-4532-AFE9-28BC58059026}">
  <sheetPr>
    <pageSetUpPr fitToPage="1"/>
  </sheetPr>
  <dimension ref="B1:S40"/>
  <sheetViews>
    <sheetView showGridLines="0" tabSelected="1" topLeftCell="C1" zoomScale="70" zoomScaleNormal="70" workbookViewId="0">
      <selection activeCell="Q3" sqref="Q3"/>
    </sheetView>
  </sheetViews>
  <sheetFormatPr defaultRowHeight="14.4" x14ac:dyDescent="0.3"/>
  <cols>
    <col min="7" max="7" width="64" customWidth="1"/>
    <col min="8" max="8" width="18.44140625" customWidth="1"/>
    <col min="12" max="12" width="44.77734375" bestFit="1" customWidth="1"/>
    <col min="15" max="15" width="8.6640625" customWidth="1"/>
    <col min="16" max="16" width="24.109375" customWidth="1"/>
    <col min="17" max="17" width="24.5546875" bestFit="1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v>46288</v>
      </c>
      <c r="R3" s="6"/>
    </row>
    <row r="4" spans="4:19" ht="31.2" x14ac:dyDescent="0.3">
      <c r="H4" s="4" t="s">
        <v>39</v>
      </c>
    </row>
    <row r="5" spans="4:19" x14ac:dyDescent="0.3">
      <c r="E5" t="s">
        <v>47</v>
      </c>
      <c r="L5" s="3" t="s">
        <v>53</v>
      </c>
      <c r="M5" s="3"/>
      <c r="N5" s="3"/>
      <c r="O5" s="3"/>
      <c r="P5" s="3"/>
      <c r="Q5" s="3">
        <f>'Diesel Consumed'!D16</f>
        <v>89.6</v>
      </c>
    </row>
    <row r="6" spans="4:19" x14ac:dyDescent="0.3">
      <c r="D6" s="3" t="s">
        <v>29</v>
      </c>
      <c r="G6" s="27"/>
      <c r="H6" s="7">
        <f>('Diesel Consumed'!$D$16)</f>
        <v>89.6</v>
      </c>
      <c r="L6" s="3" t="s">
        <v>30</v>
      </c>
      <c r="M6" s="3"/>
      <c r="N6" s="3"/>
      <c r="O6" s="3"/>
      <c r="P6" s="3"/>
      <c r="Q6" s="21">
        <f>('Total Hours'!$D$16)</f>
        <v>10.63</v>
      </c>
    </row>
    <row r="7" spans="4:19" x14ac:dyDescent="0.3">
      <c r="H7" t="s">
        <v>52</v>
      </c>
      <c r="L7" s="3" t="s">
        <v>31</v>
      </c>
      <c r="M7" s="3"/>
      <c r="N7" s="3"/>
      <c r="O7" s="3"/>
      <c r="P7" s="3"/>
      <c r="Q7" s="7">
        <f>('Total Hours'!$D$17)</f>
        <v>8.4289746001881465</v>
      </c>
    </row>
    <row r="19" spans="4:17" x14ac:dyDescent="0.3">
      <c r="D19" s="3" t="s">
        <v>32</v>
      </c>
      <c r="H19" s="7">
        <f>('Diesel Stock Level'!$C$18)</f>
        <v>2609.42</v>
      </c>
      <c r="L19" s="3" t="s">
        <v>33</v>
      </c>
      <c r="M19" s="13"/>
      <c r="Q19" s="7">
        <f>('Diesel Reserve'!$D$15)</f>
        <v>240</v>
      </c>
    </row>
    <row r="34" spans="2:16" ht="18" x14ac:dyDescent="0.35">
      <c r="G34" s="54" t="s">
        <v>34</v>
      </c>
      <c r="H34" s="55"/>
      <c r="I34" s="55"/>
      <c r="J34" s="55"/>
      <c r="K34" s="55"/>
      <c r="L34" s="55"/>
      <c r="M34" s="55"/>
      <c r="N34" s="55"/>
      <c r="O34" s="55"/>
      <c r="P34" s="56"/>
    </row>
    <row r="35" spans="2:16" x14ac:dyDescent="0.3">
      <c r="G35" s="43" t="s">
        <v>46</v>
      </c>
      <c r="H35" s="8"/>
      <c r="I35" s="8"/>
      <c r="J35" s="8"/>
      <c r="K35" s="8"/>
      <c r="L35" s="8"/>
      <c r="M35" s="8"/>
      <c r="N35" s="8"/>
      <c r="O35" s="8"/>
      <c r="P35" s="10"/>
    </row>
    <row r="36" spans="2:16" x14ac:dyDescent="0.3">
      <c r="G36" s="42"/>
      <c r="H36" s="8"/>
      <c r="I36" s="8"/>
      <c r="J36" s="8"/>
      <c r="K36" s="8"/>
      <c r="L36" s="8"/>
      <c r="M36" s="8"/>
      <c r="N36" s="8"/>
      <c r="O36" s="8"/>
      <c r="P36" s="10"/>
    </row>
    <row r="37" spans="2:16" x14ac:dyDescent="0.3">
      <c r="G37" s="37"/>
      <c r="H37" s="8"/>
      <c r="I37" s="8"/>
      <c r="J37" s="8"/>
      <c r="K37" s="8"/>
      <c r="L37" s="8"/>
      <c r="M37" s="8"/>
      <c r="N37" s="8"/>
      <c r="O37" s="8"/>
      <c r="P37" s="10"/>
    </row>
    <row r="38" spans="2:16" x14ac:dyDescent="0.3">
      <c r="G38" s="18"/>
      <c r="H38" s="8"/>
      <c r="I38" s="8"/>
      <c r="J38" s="8"/>
      <c r="K38" s="8"/>
      <c r="L38" s="8"/>
      <c r="M38" s="8"/>
      <c r="N38" s="8"/>
      <c r="O38" s="8"/>
      <c r="P38" s="16"/>
    </row>
    <row r="39" spans="2:16" x14ac:dyDescent="0.3">
      <c r="G39" s="19"/>
      <c r="H39" s="14"/>
      <c r="I39" s="14"/>
      <c r="J39" s="14"/>
      <c r="K39" s="14"/>
      <c r="L39" s="14"/>
      <c r="M39" s="14"/>
      <c r="N39" s="14"/>
      <c r="O39" s="14"/>
      <c r="P39" s="15"/>
    </row>
    <row r="40" spans="2:16" x14ac:dyDescent="0.3">
      <c r="B40" t="s">
        <v>44</v>
      </c>
    </row>
  </sheetData>
  <mergeCells count="1">
    <mergeCell ref="G34:P34"/>
  </mergeCells>
  <pageMargins left="0.25" right="0.25" top="0.75" bottom="0.75" header="0.3" footer="0.3"/>
  <pageSetup paperSize="9" scale="5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E408-004F-4BBE-B49C-63F17C47BA24}">
  <sheetPr>
    <pageSetUpPr fitToPage="1"/>
  </sheetPr>
  <dimension ref="D1:S39"/>
  <sheetViews>
    <sheetView showGridLines="0" zoomScale="64" zoomScaleNormal="75" workbookViewId="0">
      <selection activeCell="G37" sqref="G37"/>
    </sheetView>
  </sheetViews>
  <sheetFormatPr defaultRowHeight="14.4" x14ac:dyDescent="0.3"/>
  <cols>
    <col min="7" max="7" width="36.5546875" bestFit="1" customWidth="1"/>
    <col min="8" max="8" width="12.5546875" customWidth="1"/>
    <col min="15" max="16" width="8.6640625" customWidth="1"/>
    <col min="17" max="17" width="18.5546875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f ca="1">TODAY()</f>
        <v>46289</v>
      </c>
      <c r="R3" s="6"/>
    </row>
    <row r="4" spans="4:19" ht="31.2" x14ac:dyDescent="0.3">
      <c r="H4" s="4" t="s">
        <v>35</v>
      </c>
    </row>
    <row r="6" spans="4:19" x14ac:dyDescent="0.3">
      <c r="D6" s="3" t="s">
        <v>29</v>
      </c>
      <c r="H6" s="7">
        <f>('Diesel Consumed'!$D$15)</f>
        <v>0</v>
      </c>
      <c r="L6" s="3" t="s">
        <v>30</v>
      </c>
      <c r="M6" s="13"/>
      <c r="Q6" s="21">
        <f>('Total Hours'!$D$16)</f>
        <v>10.63</v>
      </c>
    </row>
    <row r="7" spans="4:19" x14ac:dyDescent="0.3">
      <c r="L7" s="3" t="s">
        <v>31</v>
      </c>
      <c r="Q7" s="7">
        <f>('Total Hours'!$D$17)</f>
        <v>8.4289746001881465</v>
      </c>
    </row>
    <row r="19" spans="4:17" x14ac:dyDescent="0.3">
      <c r="D19" s="3" t="s">
        <v>32</v>
      </c>
      <c r="H19" s="20">
        <f>('Diesel Stock Level'!$C$18)</f>
        <v>2609.42</v>
      </c>
      <c r="L19" s="3" t="s">
        <v>33</v>
      </c>
      <c r="M19" s="13"/>
      <c r="Q19" s="7">
        <f>('Diesel Reserve'!$D$15)</f>
        <v>240</v>
      </c>
    </row>
    <row r="34" spans="7:16" ht="18" x14ac:dyDescent="0.35">
      <c r="G34" s="54" t="s">
        <v>34</v>
      </c>
      <c r="H34" s="55"/>
      <c r="I34" s="55"/>
      <c r="J34" s="55"/>
      <c r="K34" s="55"/>
      <c r="L34" s="55"/>
      <c r="M34" s="55"/>
      <c r="N34" s="55"/>
      <c r="O34" s="55"/>
      <c r="P34" s="56"/>
    </row>
    <row r="35" spans="7:16" x14ac:dyDescent="0.3">
      <c r="G35" s="26" t="s">
        <v>37</v>
      </c>
      <c r="H35" s="8"/>
      <c r="I35" s="8"/>
      <c r="J35" s="8"/>
      <c r="K35" s="8"/>
      <c r="L35" s="8"/>
      <c r="M35" s="8"/>
      <c r="N35" s="8"/>
      <c r="O35" s="8"/>
      <c r="P35" s="10"/>
    </row>
    <row r="36" spans="7:16" x14ac:dyDescent="0.3">
      <c r="G36" s="26" t="s">
        <v>38</v>
      </c>
      <c r="H36" s="8"/>
      <c r="I36" s="8"/>
      <c r="J36" s="8"/>
      <c r="K36" s="8"/>
      <c r="L36" s="8"/>
      <c r="M36" s="8"/>
      <c r="N36" s="8"/>
      <c r="O36" s="8"/>
      <c r="P36" s="10"/>
    </row>
    <row r="37" spans="7:16" x14ac:dyDescent="0.3">
      <c r="G37" s="24"/>
      <c r="H37" s="8"/>
      <c r="I37" s="8"/>
      <c r="J37" s="8"/>
      <c r="K37" s="8"/>
      <c r="L37" s="8"/>
      <c r="M37" s="8"/>
      <c r="N37" s="8"/>
      <c r="O37" s="8"/>
      <c r="P37" s="10"/>
    </row>
    <row r="38" spans="7:16" x14ac:dyDescent="0.3">
      <c r="G38" s="22"/>
      <c r="H38" s="8"/>
      <c r="I38" s="8"/>
      <c r="J38" s="8"/>
      <c r="K38" s="8"/>
      <c r="L38" s="8"/>
      <c r="M38" s="8"/>
      <c r="N38" s="8"/>
      <c r="O38" s="8"/>
      <c r="P38" s="10"/>
    </row>
    <row r="39" spans="7:16" x14ac:dyDescent="0.3">
      <c r="G39" s="23"/>
      <c r="H39" s="9"/>
      <c r="I39" s="9"/>
      <c r="J39" s="9"/>
      <c r="K39" s="9"/>
      <c r="L39" s="9"/>
      <c r="M39" s="9"/>
      <c r="N39" s="9"/>
      <c r="O39" s="9"/>
      <c r="P39" s="11"/>
    </row>
  </sheetData>
  <mergeCells count="1">
    <mergeCell ref="G34:P34"/>
  </mergeCells>
  <pageMargins left="0.25" right="0.25" top="0.75" bottom="0.75" header="0.3" footer="0.3"/>
  <pageSetup paperSize="9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Diesel Stock Level</vt:lpstr>
      <vt:lpstr>Diesel Consumed</vt:lpstr>
      <vt:lpstr>Total Hours</vt:lpstr>
      <vt:lpstr>Diesel Reserve</vt:lpstr>
      <vt:lpstr>Report</vt:lpstr>
      <vt:lpstr>Report (Monday)</vt:lpstr>
      <vt:lpstr>Report!Print_Area</vt:lpstr>
      <vt:lpstr>'Report (Monday)'!Print_Area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Data_Analyst</dc:creator>
  <cp:keywords/>
  <dc:description/>
  <cp:lastModifiedBy>Data Analyst</cp:lastModifiedBy>
  <cp:revision/>
  <cp:lastPrinted>2026-09-22T09:50:55Z</cp:lastPrinted>
  <dcterms:created xsi:type="dcterms:W3CDTF">2024-11-16T10:33:49Z</dcterms:created>
  <dcterms:modified xsi:type="dcterms:W3CDTF">2026-09-24T08:41:56Z</dcterms:modified>
  <cp:category/>
  <cp:contentStatus/>
</cp:coreProperties>
</file>