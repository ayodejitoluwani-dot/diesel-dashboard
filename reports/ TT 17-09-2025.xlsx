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45" documentId="8_{2993BE7F-1450-4BEB-921A-F05CA1A552F8}" xr6:coauthVersionLast="47" xr6:coauthVersionMax="47" xr10:uidLastSave="{A7FAEBE7-B6E8-444A-9486-A39DFF1A646B}"/>
  <bookViews>
    <workbookView minimized="1" xWindow="7728" yWindow="1452" windowWidth="14508" windowHeight="11508" tabRatio="854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7" l="1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Q3" i="7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B19" i="4" s="1"/>
  <c r="C18" i="2"/>
  <c r="H19" i="7" s="1"/>
  <c r="D17" i="4" l="1"/>
  <c r="Q7" i="7" s="1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<sst xmlns="http://schemas.openxmlformats.org/spreadsheetml/2006/main" count="151" uniqueCount="54">
  <si>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</si>
  <si>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</si>
  <si>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</si>
  <si>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</si>
  <si>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</si>
  <si>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</si>
  <si>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</si>
  <si>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</si>
  <si>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</si>
  <si>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</si>
  <si>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</si>
  <si>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</si>
  <si>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</si>
  <si>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</si>
  <si>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</si>
  <si>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</si>
  <si>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</si>
  <si>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</si>
  <si>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</si>
  <si>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</si>
  <si>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</si>
  <si>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</si>
  <si>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</si>
  <si>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</si>
  <si>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</si>
  <si>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</si>
  <si>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</si>
  <si>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</si>
  <si>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</si>
  <si>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</si>
  <si>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</si>
  <si>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</si>
  <si>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</si>
  <si>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</si>
  <si>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</si>
  <si>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</si>
  <si>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</si>
  <si>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</si>
  <si>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</si>
  <si>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</si>
  <si>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</si>
  <si>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</si>
  <si>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</si>
  <si>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</si>
  <si>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</si>
  <si>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</si>
  <si>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</si>
  <si>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</si>
  <si>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</si>
  <si>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</si>
  <si>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</si>
  <si>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</si>
  <si>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</si>
  <si>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>Total Diesel Usage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</si>
</sst>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0" fillId="0" borderId="1" xfId="0" applyFont="1" applyBorder="1"/>
    <xf numFmtId="0" fontId="31" fillId="0" borderId="1" xfId="0" applyFont="1" applyBorder="1"/>
    <xf numFmtId="0" fontId="32" fillId="0" borderId="0" xfId="0" applyFont="1"/>
    <xf numFmtId="0" fontId="34" fillId="0" borderId="0" xfId="0" applyFont="1" applyAlignment="1">
      <alignment vertical="center"/>
    </xf>
    <xf numFmtId="14" fontId="0" fillId="0" borderId="0" xfId="0" applyNumberFormat="1"/>
    <xf numFmtId="165" fontId="33" fillId="0" borderId="0" xfId="0" applyNumberFormat="1" applyFont="1"/>
    <xf numFmtId="166" fontId="32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5" fillId="0" borderId="0" xfId="0" applyNumberFormat="1" applyFont="1"/>
    <xf numFmtId="0" fontId="29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8" fillId="0" borderId="0" xfId="0" applyFont="1"/>
    <xf numFmtId="0" fontId="27" fillId="2" borderId="10" xfId="0" quotePrefix="1" applyFont="1" applyFill="1" applyBorder="1"/>
    <xf numFmtId="0" fontId="27" fillId="2" borderId="11" xfId="0" quotePrefix="1" applyFont="1" applyFill="1" applyBorder="1"/>
    <xf numFmtId="164" fontId="32" fillId="0" borderId="0" xfId="0" applyNumberFormat="1" applyFont="1"/>
    <xf numFmtId="2" fontId="32" fillId="0" borderId="0" xfId="0" applyNumberFormat="1" applyFont="1"/>
    <xf numFmtId="0" fontId="26" fillId="2" borderId="5" xfId="0" quotePrefix="1" applyFont="1" applyFill="1" applyBorder="1"/>
    <xf numFmtId="0" fontId="26" fillId="2" borderId="6" xfId="0" quotePrefix="1" applyFont="1" applyFill="1" applyBorder="1"/>
    <xf numFmtId="0" fontId="25" fillId="2" borderId="5" xfId="0" quotePrefix="1" applyFont="1" applyFill="1" applyBorder="1"/>
    <xf numFmtId="0" fontId="31" fillId="0" borderId="15" xfId="0" applyFont="1" applyBorder="1"/>
    <xf numFmtId="0" fontId="24" fillId="2" borderId="5" xfId="0" quotePrefix="1" applyFont="1" applyFill="1" applyBorder="1"/>
    <xf numFmtId="0" fontId="0" fillId="0" borderId="0" xfId="0" applyAlignment="1">
      <alignment wrapText="1"/>
    </xf>
    <xf numFmtId="0" fontId="23" fillId="0" borderId="0" xfId="0" applyFont="1"/>
    <xf numFmtId="0" fontId="31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31" fillId="0" borderId="15" xfId="0" applyFont="1" applyBorder="1" applyAlignment="1">
      <alignment wrapText="1"/>
    </xf>
    <xf numFmtId="0" fontId="17" fillId="0" borderId="0" xfId="0" applyFont="1"/>
    <xf numFmtId="0" fontId="16" fillId="2" borderId="10" xfId="0" quotePrefix="1" applyFont="1" applyFill="1" applyBorder="1"/>
    <xf numFmtId="0" fontId="15" fillId="0" borderId="0" xfId="0" quotePrefix="1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2" fillId="2" borderId="10" xfId="0" quotePrefix="1" applyFont="1" applyFill="1" applyBorder="1"/>
    <xf numFmtId="0" fontId="11" fillId="2" borderId="5" xfId="0" quotePrefix="1" applyFont="1" applyFill="1" applyBorder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2" fillId="0" borderId="0" xfId="0" applyFont="1"/>
    <xf numFmtId="0" fontId="1" fillId="0" borderId="0" xfId="0" applyFont="1"/>
    <xf numFmtId="0" fontId="33" fillId="2" borderId="7" xfId="0" applyFont="1" applyFill="1" applyBorder="1" applyAlignment="1">
      <alignment horizontal="center"/>
    </xf>
    <xf numFmtId="0" fontId="33" fillId="2" borderId="8" xfId="0" applyFont="1" applyFill="1" applyBorder="1" applyAlignment="1">
      <alignment horizontal="center"/>
    </xf>
    <xf numFmtId="0" fontId="33" fillId="2" borderId="9" xfId="0" applyFont="1" applyFill="1" applyBorder="1" applyAlignment="1">
      <alignment horizontal="center"/>
    </xf>
    <xf numFmtId="0" fontId="0" fillId="0" borderId="0" xfId="0"/>
    <xf numFmtId="0" fontId="3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340.8</c:v>
                </c:pt>
                <c:pt idx="1">
                  <c:v>0</c:v>
                </c:pt>
                <c:pt idx="2">
                  <c:v>228.2</c:v>
                </c:pt>
                <c:pt idx="3">
                  <c:v>95</c:v>
                </c:pt>
                <c:pt idx="4">
                  <c:v>0</c:v>
                </c:pt>
                <c:pt idx="5">
                  <c:v>0</c:v>
                </c:pt>
                <c:pt idx="6">
                  <c:v>124</c:v>
                </c:pt>
                <c:pt idx="7">
                  <c:v>4.3</c:v>
                </c:pt>
                <c:pt idx="8">
                  <c:v>315</c:v>
                </c:pt>
                <c:pt idx="9">
                  <c:v>50</c:v>
                </c:pt>
                <c:pt idx="10">
                  <c:v>97.5</c:v>
                </c:pt>
                <c:pt idx="11">
                  <c:v>243</c:v>
                </c:pt>
                <c:pt idx="12">
                  <c:v>170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2.21</c:v>
                </c:pt>
                <c:pt idx="1">
                  <c:v>15.09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1.55</c:v>
                </c:pt>
                <c:pt idx="6">
                  <c:v>10</c:v>
                </c:pt>
                <c:pt idx="7">
                  <c:v>16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2.21</c:v>
                </c:pt>
                <c:pt idx="1">
                  <c:v>15.09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1.55</c:v>
                </c:pt>
                <c:pt idx="6">
                  <c:v>10</c:v>
                </c:pt>
                <c:pt idx="7">
                  <c:v>16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340.8</c:v>
                </c:pt>
                <c:pt idx="1">
                  <c:v>0</c:v>
                </c:pt>
                <c:pt idx="2">
                  <c:v>228.2</c:v>
                </c:pt>
                <c:pt idx="3">
                  <c:v>95</c:v>
                </c:pt>
                <c:pt idx="4">
                  <c:v>0</c:v>
                </c:pt>
                <c:pt idx="5">
                  <c:v>0</c:v>
                </c:pt>
                <c:pt idx="6">
                  <c:v>124</c:v>
                </c:pt>
                <c:pt idx="7">
                  <c:v>4.3</c:v>
                </c:pt>
                <c:pt idx="8">
                  <c:v>315</c:v>
                </c:pt>
                <c:pt idx="9">
                  <c:v>50</c:v>
                </c:pt>
                <c:pt idx="10">
                  <c:v>97.5</c:v>
                </c:pt>
                <c:pt idx="11">
                  <c:v>243</c:v>
                </c:pt>
                <c:pt idx="12">
                  <c:v>170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2.21</c:v>
                </c:pt>
                <c:pt idx="1">
                  <c:v>15.09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1.55</c:v>
                </c:pt>
                <c:pt idx="6">
                  <c:v>10</c:v>
                </c:pt>
                <c:pt idx="7">
                  <c:v>16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3174</xdr:rowOff>
    </xdr:from>
    <xdr:to>
      <xdr:col>12</xdr:col>
      <xdr:colOff>511175</xdr:colOff>
      <xdr:row>24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zoomScaleNormal="100" workbookViewId="0">
      <selection activeCell="K4" sqref="K4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340.8</v>
      </c>
      <c r="F2" s="28" t="s">
        <v>5</v>
      </c>
      <c r="G2" s="48">
        <v>16.68</v>
      </c>
      <c r="J2" s="28" t="s">
        <v>5</v>
      </c>
      <c r="K2" s="54">
        <v>2.21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0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28">
        <v>228.2</v>
      </c>
      <c r="F4" s="28" t="s">
        <v>9</v>
      </c>
      <c r="G4" s="28">
        <v>143.80000000000001</v>
      </c>
      <c r="J4" s="39" t="s">
        <v>9</v>
      </c>
      <c r="K4" s="28">
        <v>15.09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95</v>
      </c>
      <c r="F5" s="48" t="s">
        <v>45</v>
      </c>
      <c r="G5" s="51">
        <v>50</v>
      </c>
      <c r="J5" s="48" t="s">
        <v>45</v>
      </c>
      <c r="K5" s="51">
        <v>16</v>
      </c>
      <c r="P5" s="28" t="s">
        <v>11</v>
      </c>
      <c r="Q5" s="28">
        <v>0</v>
      </c>
    </row>
    <row r="6" spans="1:17" ht="14.25" customHeight="1" x14ac:dyDescent="0.3">
      <c r="B6" s="28" t="s">
        <v>12</v>
      </c>
      <c r="C6" s="28">
        <v>0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124</v>
      </c>
      <c r="F8" s="28" t="s">
        <v>8</v>
      </c>
      <c r="G8" s="51">
        <v>6</v>
      </c>
      <c r="J8" s="28" t="s">
        <v>8</v>
      </c>
      <c r="K8" s="36">
        <v>2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4.3</v>
      </c>
      <c r="F9" s="28" t="s">
        <v>10</v>
      </c>
      <c r="G9" s="38">
        <v>3.2</v>
      </c>
      <c r="J9" s="28" t="s">
        <v>10</v>
      </c>
      <c r="K9" s="30">
        <v>1.55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315</v>
      </c>
      <c r="F10" s="28" t="s">
        <v>18</v>
      </c>
      <c r="G10" s="28">
        <v>45</v>
      </c>
      <c r="J10" s="28" t="s">
        <v>18</v>
      </c>
      <c r="K10" s="54">
        <v>10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315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50</v>
      </c>
      <c r="F12" s="28" t="s">
        <v>21</v>
      </c>
      <c r="G12" s="28">
        <v>64</v>
      </c>
      <c r="J12" s="28" t="s">
        <v>21</v>
      </c>
      <c r="K12" s="28">
        <v>16</v>
      </c>
    </row>
    <row r="13" spans="1:17" ht="14.25" customHeight="1" x14ac:dyDescent="0.3">
      <c r="A13" s="13"/>
      <c r="B13" s="28" t="s">
        <v>22</v>
      </c>
      <c r="C13" s="28">
        <v>97.5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243</v>
      </c>
      <c r="F14" s="28" t="s">
        <v>19</v>
      </c>
      <c r="G14" s="51">
        <v>0</v>
      </c>
      <c r="J14" s="28" t="s">
        <v>19</v>
      </c>
      <c r="K14" s="51">
        <v>2</v>
      </c>
    </row>
    <row r="15" spans="1:17" ht="14.25" customHeight="1" x14ac:dyDescent="0.3">
      <c r="B15" s="28" t="s">
        <v>23</v>
      </c>
      <c r="C15" s="31">
        <v>170</v>
      </c>
      <c r="F15" s="28" t="s">
        <v>23</v>
      </c>
      <c r="G15" s="51">
        <v>32.4</v>
      </c>
      <c r="J15" s="28" t="s">
        <v>23</v>
      </c>
      <c r="K15" s="51">
        <v>1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3</v>
      </c>
      <c r="J16" s="28" t="s">
        <v>24</v>
      </c>
      <c r="K16" s="52">
        <v>1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400</v>
      </c>
      <c r="F21" s="28" t="s">
        <v>26</v>
      </c>
      <c r="G21" s="28">
        <v>88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E24" sqref="E2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340.8</v>
      </c>
    </row>
    <row r="4" spans="2:3" ht="14.25" customHeight="1" x14ac:dyDescent="0.3">
      <c r="B4" s="2" t="s">
        <v>51</v>
      </c>
      <c r="C4" s="2">
        <f>SUM(Sheet1!C3)</f>
        <v>0</v>
      </c>
    </row>
    <row r="5" spans="2:3" ht="14.25" customHeight="1" x14ac:dyDescent="0.3">
      <c r="B5" s="2" t="s">
        <v>6</v>
      </c>
      <c r="C5" s="2">
        <f>(Sheet1!C4)</f>
        <v>228.2</v>
      </c>
    </row>
    <row r="6" spans="2:3" ht="14.25" customHeight="1" x14ac:dyDescent="0.3">
      <c r="B6" s="2" t="s">
        <v>45</v>
      </c>
      <c r="C6" s="2">
        <f>(Sheet1!C5)</f>
        <v>95</v>
      </c>
    </row>
    <row r="7" spans="2:3" ht="14.25" customHeight="1" x14ac:dyDescent="0.3">
      <c r="B7" s="2" t="s">
        <v>6</v>
      </c>
      <c r="C7" s="2">
        <f>(Sheet1!C6)</f>
        <v>0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124</v>
      </c>
    </row>
    <row r="10" spans="2:3" ht="14.25" customHeight="1" x14ac:dyDescent="0.3">
      <c r="B10" s="2" t="s">
        <v>10</v>
      </c>
      <c r="C10" s="2">
        <f>(Sheet1!C9)</f>
        <v>4.3</v>
      </c>
    </row>
    <row r="11" spans="2:3" ht="14.25" customHeight="1" x14ac:dyDescent="0.3">
      <c r="B11" s="2" t="s">
        <v>16</v>
      </c>
      <c r="C11" s="2">
        <f>(Sheet1!C10)</f>
        <v>315</v>
      </c>
    </row>
    <row r="12" spans="2:3" ht="14.25" customHeight="1" x14ac:dyDescent="0.3">
      <c r="B12" s="2" t="s">
        <v>48</v>
      </c>
      <c r="C12" s="2">
        <f>(Sheet1!C12)</f>
        <v>50</v>
      </c>
    </row>
    <row r="13" spans="2:3" ht="14.25" customHeight="1" x14ac:dyDescent="0.3">
      <c r="B13" s="2" t="s">
        <v>49</v>
      </c>
      <c r="C13" s="2">
        <f>Sheet1!C13</f>
        <v>97.5</v>
      </c>
    </row>
    <row r="14" spans="2:3" ht="14.4" x14ac:dyDescent="0.3">
      <c r="B14" s="2" t="s">
        <v>19</v>
      </c>
      <c r="C14" s="29">
        <f>Sheet1!C14</f>
        <v>243</v>
      </c>
    </row>
    <row r="15" spans="2:3" ht="14.25" customHeight="1" x14ac:dyDescent="0.3">
      <c r="B15" s="2" t="s">
        <v>43</v>
      </c>
      <c r="C15">
        <f>Sheet1!C15</f>
        <v>170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1667.8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N21" sqref="N21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16.68</v>
      </c>
    </row>
    <row r="4" spans="3:4" ht="14.25" customHeight="1" x14ac:dyDescent="0.3">
      <c r="C4" s="2" t="s">
        <v>6</v>
      </c>
      <c r="D4" s="2">
        <f>Sheet1!G5</f>
        <v>50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6</v>
      </c>
    </row>
    <row r="8" spans="3:4" ht="14.25" customHeight="1" x14ac:dyDescent="0.3">
      <c r="C8" s="2" t="s">
        <v>10</v>
      </c>
      <c r="D8" s="2">
        <f>(Sheet1!G9)</f>
        <v>3.2</v>
      </c>
    </row>
    <row r="9" spans="3:4" ht="14.25" customHeight="1" x14ac:dyDescent="0.3">
      <c r="C9" s="2" t="s">
        <v>16</v>
      </c>
      <c r="D9" s="2">
        <f>SUM(Sheet1!G10:G11)</f>
        <v>45</v>
      </c>
    </row>
    <row r="10" spans="3:4" ht="14.25" customHeight="1" x14ac:dyDescent="0.3">
      <c r="C10" s="2" t="s">
        <v>11</v>
      </c>
      <c r="D10" s="2">
        <f>SUM(Sheet1!G12:G13)</f>
        <v>64</v>
      </c>
    </row>
    <row r="11" spans="3:4" ht="14.25" customHeight="1" x14ac:dyDescent="0.3">
      <c r="C11" s="2" t="s">
        <v>19</v>
      </c>
      <c r="D11" s="2">
        <f>(Sheet1!G14)</f>
        <v>0</v>
      </c>
    </row>
    <row r="12" spans="3:4" ht="14.25" customHeight="1" x14ac:dyDescent="0.3">
      <c r="C12" s="2" t="s">
        <v>41</v>
      </c>
      <c r="D12" s="2">
        <f>Sheet1!G16</f>
        <v>3</v>
      </c>
    </row>
    <row r="13" spans="3:4" ht="14.25" customHeight="1" x14ac:dyDescent="0.3">
      <c r="C13" s="2" t="s">
        <v>42</v>
      </c>
      <c r="D13" s="29">
        <f>Sheet1!G15</f>
        <v>32.4</v>
      </c>
    </row>
    <row r="14" spans="3:4" ht="14.25" customHeight="1" x14ac:dyDescent="0.3">
      <c r="C14" s="25" t="s">
        <v>40</v>
      </c>
      <c r="D14">
        <f>Sheet1!G5</f>
        <v>50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270.27999999999997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B19" sqref="B19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2.21</v>
      </c>
    </row>
    <row r="4" spans="3:4" ht="14.25" customHeight="1" x14ac:dyDescent="0.3">
      <c r="C4" s="2" t="s">
        <v>6</v>
      </c>
      <c r="D4" s="2">
        <f>SUM(Sheet1!K4:K4)</f>
        <v>15.09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2</v>
      </c>
    </row>
    <row r="8" spans="3:4" ht="14.25" customHeight="1" x14ac:dyDescent="0.3">
      <c r="C8" s="2" t="s">
        <v>10</v>
      </c>
      <c r="D8" s="2">
        <f>(Sheet1!K9)</f>
        <v>1.55</v>
      </c>
    </row>
    <row r="9" spans="3:4" ht="14.25" customHeight="1" x14ac:dyDescent="0.3">
      <c r="C9" s="2" t="s">
        <v>16</v>
      </c>
      <c r="D9" s="2">
        <f>SUM(Sheet1!K10:K11)</f>
        <v>10</v>
      </c>
    </row>
    <row r="10" spans="3:4" ht="14.25" customHeight="1" x14ac:dyDescent="0.3">
      <c r="C10" s="2" t="s">
        <v>11</v>
      </c>
      <c r="D10" s="2">
        <f>SUM(Sheet1!K12:K13)</f>
        <v>16</v>
      </c>
    </row>
    <row r="11" spans="3:4" ht="14.25" customHeight="1" x14ac:dyDescent="0.3">
      <c r="C11" s="2" t="s">
        <v>19</v>
      </c>
      <c r="D11" s="2">
        <f>(Sheet1!K14)</f>
        <v>2</v>
      </c>
    </row>
    <row r="12" spans="3:4" ht="14.25" customHeight="1" x14ac:dyDescent="0.3">
      <c r="C12" s="2" t="s">
        <v>41</v>
      </c>
      <c r="D12" s="2">
        <f>Sheet1!K16</f>
        <v>1</v>
      </c>
    </row>
    <row r="13" spans="3:4" ht="14.25" customHeight="1" x14ac:dyDescent="0.3">
      <c r="C13" s="2" t="s">
        <v>42</v>
      </c>
      <c r="D13" s="29">
        <f>Sheet1!K15</f>
        <v>1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50.85</v>
      </c>
    </row>
    <row r="17" spans="2:4" ht="14.25" customHeight="1" x14ac:dyDescent="0.3">
      <c r="D17" s="13">
        <f>B19/D16</f>
        <v>5.3152409046214348</v>
      </c>
    </row>
    <row r="18" spans="2:4" ht="14.25" customHeight="1" x14ac:dyDescent="0.3"/>
    <row r="19" spans="2:4" ht="14.25" customHeight="1" x14ac:dyDescent="0.3">
      <c r="B19">
        <f>'Diesel Consumed'!D16</f>
        <v>270.27999999999997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J30" sqref="J30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zoomScale="72" zoomScaleNormal="58" workbookViewId="0">
      <selection activeCell="L5" sqref="L5:Q7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46282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59" t="s">
        <v>53</v>
      </c>
      <c r="M5" s="58"/>
      <c r="N5" s="58"/>
      <c r="O5" s="58"/>
      <c r="Q5" s="3">
        <f>('Diesel Consumed'!D16)</f>
        <v>270.27999999999997</v>
      </c>
    </row>
    <row r="6" spans="4:19" x14ac:dyDescent="0.3">
      <c r="D6" s="3" t="s">
        <v>29</v>
      </c>
      <c r="G6" s="27"/>
      <c r="H6" s="7">
        <f>('Diesel Consumed'!$D$16)</f>
        <v>270.27999999999997</v>
      </c>
      <c r="L6" s="3" t="s">
        <v>30</v>
      </c>
      <c r="M6" s="13"/>
      <c r="Q6" s="21">
        <f>('Total Hours'!$D$16)</f>
        <v>50.85</v>
      </c>
    </row>
    <row r="7" spans="4:19" x14ac:dyDescent="0.3">
      <c r="H7" t="s">
        <v>52</v>
      </c>
      <c r="L7" s="3" t="s">
        <v>31</v>
      </c>
      <c r="Q7" s="7">
        <f>('Total Hours'!$D$17)</f>
        <v>5.3152409046214348</v>
      </c>
    </row>
    <row r="19" spans="4:17" x14ac:dyDescent="0.3">
      <c r="D19" s="3" t="s">
        <v>32</v>
      </c>
      <c r="H19" s="7">
        <f>('Diesel Stock Level'!$C$18)</f>
        <v>1667.8</v>
      </c>
      <c r="L19" s="3" t="s">
        <v>33</v>
      </c>
      <c r="M19" s="13"/>
      <c r="Q19" s="7">
        <f>('Diesel Reserve'!$D$15)</f>
        <v>0</v>
      </c>
    </row>
    <row r="34" spans="2:16" ht="18" x14ac:dyDescent="0.35">
      <c r="G34" s="55" t="s">
        <v>34</v>
      </c>
      <c r="H34" s="56"/>
      <c r="I34" s="56"/>
      <c r="J34" s="56"/>
      <c r="K34" s="56"/>
      <c r="L34" s="56"/>
      <c r="M34" s="56"/>
      <c r="N34" s="56"/>
      <c r="O34" s="56"/>
      <c r="P34" s="57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2">
    <mergeCell ref="G34:P34"/>
    <mergeCell ref="L5:O5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topLeftCell="A4" zoomScale="64" zoomScaleNormal="75" workbookViewId="0">
      <selection activeCell="K25" sqref="K25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46282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50.85</v>
      </c>
    </row>
    <row r="7" spans="4:19" x14ac:dyDescent="0.3">
      <c r="L7" s="3" t="s">
        <v>31</v>
      </c>
      <c r="Q7" s="7">
        <f>('Total Hours'!$D$17)</f>
        <v>5.3152409046214348</v>
      </c>
    </row>
    <row r="19" spans="4:17" x14ac:dyDescent="0.3">
      <c r="D19" s="3" t="s">
        <v>32</v>
      </c>
      <c r="H19" s="20">
        <f>('Diesel Stock Level'!$C$18)</f>
        <v>1667.8</v>
      </c>
      <c r="L19" s="3" t="s">
        <v>33</v>
      </c>
      <c r="M19" s="13"/>
      <c r="Q19" s="7">
        <f>('Diesel Reserve'!$D$15)</f>
        <v>0</v>
      </c>
    </row>
    <row r="34" spans="7:16" ht="18" x14ac:dyDescent="0.35">
      <c r="G34" s="55" t="s">
        <v>34</v>
      </c>
      <c r="H34" s="56"/>
      <c r="I34" s="56"/>
      <c r="J34" s="56"/>
      <c r="K34" s="56"/>
      <c r="L34" s="56"/>
      <c r="M34" s="56"/>
      <c r="N34" s="56"/>
      <c r="O34" s="56"/>
      <c r="P34" s="57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2026-09-17T11:35:13Z</cp:lastPrinted>
  <dcterms:created xsi:type="dcterms:W3CDTF">2024-11-16T10:33:49Z</dcterms:created>
  <dcterms:modified xsi:type="dcterms:W3CDTF">2026-09-17T11:46:54Z</dcterms:modified>
  <cp:category/>
  <cp:contentStatus/>
</cp:coreProperties>
</file>