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5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drawings/drawing6.xml" ContentType="application/vnd.openxmlformats-officedocument.drawing+xml"/>
  <Override PartName="/xl/charts/chartEx1.xml" ContentType="application/vnd.ms-office.chartex+xml"/>
  <Override PartName="/xl/charts/style9.xml" ContentType="application/vnd.ms-office.chartstyle+xml"/>
  <Override PartName="/xl/charts/colors9.xml" ContentType="application/vnd.ms-office.chartcolorstyle+xml"/>
  <Override PartName="/xl/charts/chart9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charts/chart10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charts/chart11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https://d.docs.live.net/06cbb45cca03e754/Desktop/10x10/"/>
    </mc:Choice>
  </mc:AlternateContent>
  <xr:revisionPtr revIDLastSave="185" documentId="13_ncr:1_{BC49FCE2-0D74-4CB5-903C-973FF9916F29}" xr6:coauthVersionLast="47" xr6:coauthVersionMax="47" xr10:uidLastSave="{762169C7-66A0-4373-B08B-75F66E787D91}"/>
  <bookViews>
    <workbookView xWindow="-108" yWindow="-108" windowWidth="23256" windowHeight="13176" tabRatio="854" activeTab="5" xr2:uid="{00000000-000D-0000-FFFF-FFFF00000000}"/>
  </bookViews>
  <sheets>
    <sheet name="Sheet1" sheetId="1" r:id="rId1"/>
    <sheet name="Diesel Stock Level" sheetId="2" r:id="rId2"/>
    <sheet name="Diesel Consumed" sheetId="3" r:id="rId3"/>
    <sheet name="Total Hours" sheetId="4" r:id="rId4"/>
    <sheet name="Diesel Reserve" sheetId="5" r:id="rId5"/>
    <sheet name="Report" sheetId="7" r:id="rId6"/>
    <sheet name="Report (Monday)" sheetId="8" r:id="rId7"/>
  </sheets>
  <definedNames>
    <definedName name="_xlchart.v1.0" hidden="1">'Diesel Stock Level'!$B$4:$B$15</definedName>
    <definedName name="_xlchart.v1.1" hidden="1">'Diesel Stock Level'!$C$2</definedName>
    <definedName name="_xlchart.v1.2" hidden="1">'Diesel Stock Level'!$C$3:$C$13</definedName>
    <definedName name="_xlnm.Print_Area" localSheetId="5">Report!$C$2:$R$39</definedName>
    <definedName name="_xlnm.Print_Area" localSheetId="6">'Report (Monday)'!$C$2:$R$40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6" i="2" l="1"/>
  <c r="C15" i="2"/>
  <c r="C14" i="2"/>
  <c r="C13" i="2"/>
  <c r="C12" i="2"/>
  <c r="C11" i="2"/>
  <c r="C10" i="2"/>
  <c r="C9" i="2"/>
  <c r="C8" i="2"/>
  <c r="C7" i="2"/>
  <c r="C6" i="2"/>
  <c r="C5" i="2"/>
  <c r="C4" i="2"/>
  <c r="C3" i="2"/>
  <c r="D4" i="3"/>
  <c r="D9" i="3"/>
  <c r="D12" i="4"/>
  <c r="D13" i="4"/>
  <c r="D13" i="3"/>
  <c r="D12" i="3"/>
  <c r="D14" i="3"/>
  <c r="D5" i="3"/>
  <c r="Q3" i="7"/>
  <c r="D10" i="3"/>
  <c r="D11" i="4"/>
  <c r="D3" i="4"/>
  <c r="D3" i="3"/>
  <c r="Q3" i="8" l="1"/>
  <c r="D5" i="4"/>
  <c r="D9" i="5"/>
  <c r="D10" i="5"/>
  <c r="D15" i="5" s="1"/>
  <c r="D10" i="4" l="1"/>
  <c r="D9" i="4"/>
  <c r="D8" i="4"/>
  <c r="D7" i="4"/>
  <c r="D6" i="4"/>
  <c r="D4" i="4"/>
  <c r="D11" i="3"/>
  <c r="D8" i="3"/>
  <c r="D7" i="3"/>
  <c r="D6" i="3"/>
  <c r="D16" i="4" l="1"/>
  <c r="Q6" i="7" s="1"/>
  <c r="D16" i="3"/>
  <c r="B19" i="4" s="1"/>
  <c r="C18" i="2"/>
  <c r="H19" i="7" s="1"/>
  <c r="D17" i="4" l="1"/>
  <c r="Q7" i="7" s="1"/>
  <c r="H6" i="7"/>
  <c r="Q6" i="8"/>
  <c r="Q19" i="7"/>
  <c r="Q19" i="8"/>
  <c r="H19" i="8"/>
  <c r="H6" i="8"/>
  <c r="Q7" i="8" l="1"/>
</calcChain>
</file>

<file path=xl/sharedStrings.xml><?xml version="1.0" encoding="utf-8"?>
<sst xmlns="http://schemas.openxmlformats.org/spreadsheetml/2006/main" count="149" uniqueCount="52">
  <si>
    <t>Property</t>
  </si>
  <si>
    <t>Diesel Stock Level</t>
  </si>
  <si>
    <t>Diesel Consumed</t>
  </si>
  <si>
    <t>Total Hours</t>
  </si>
  <si>
    <t>Diesel Reserve Level</t>
  </si>
  <si>
    <t>Venus (small)</t>
  </si>
  <si>
    <t>April</t>
  </si>
  <si>
    <t>Venus (big)</t>
  </si>
  <si>
    <t>Xii-Lungi</t>
  </si>
  <si>
    <t>April (small)</t>
  </si>
  <si>
    <t>Niche</t>
  </si>
  <si>
    <t>Libreville</t>
  </si>
  <si>
    <t>April (BIG)</t>
  </si>
  <si>
    <t>April (BIG) (Est)</t>
  </si>
  <si>
    <t>Valley</t>
  </si>
  <si>
    <t>Tranquillo</t>
  </si>
  <si>
    <t>Stazia</t>
  </si>
  <si>
    <t>Venus</t>
  </si>
  <si>
    <t>Stazia(small)</t>
  </si>
  <si>
    <t>Guzape</t>
  </si>
  <si>
    <t>Stazia(big)</t>
  </si>
  <si>
    <t>Libreville (small)</t>
  </si>
  <si>
    <t>Libreville (big)</t>
  </si>
  <si>
    <t>Tranquilo (small)</t>
  </si>
  <si>
    <t>Tranquilo (big)</t>
  </si>
  <si>
    <t>Hours</t>
  </si>
  <si>
    <t>Takum</t>
  </si>
  <si>
    <t>Anchorage Hills</t>
  </si>
  <si>
    <t>Anchorage Hiils</t>
  </si>
  <si>
    <t xml:space="preserve">                                                  Total Diesel Consumed in all Properties:</t>
  </si>
  <si>
    <t xml:space="preserve">     Total Generator-run Hours across all Properties:</t>
  </si>
  <si>
    <t xml:space="preserve">     Average Hourly Usage across all Properties:</t>
  </si>
  <si>
    <t xml:space="preserve">                                                  Total Diesel Stock Level in all Properties:</t>
  </si>
  <si>
    <t xml:space="preserve">            Total external diesel reserve in all Properties: </t>
  </si>
  <si>
    <t>General Comments and Observations</t>
  </si>
  <si>
    <t xml:space="preserve">       Generator Usage Daily Report</t>
  </si>
  <si>
    <t xml:space="preserve">Valley </t>
  </si>
  <si>
    <t>-  Diesel consumption and Generator-run hours are generally satisfactory.</t>
  </si>
  <si>
    <t xml:space="preserve">- Anchorage hills reading for the past week have been added. </t>
  </si>
  <si>
    <t xml:space="preserve">Generator Usage Daily Report </t>
  </si>
  <si>
    <t>Apex</t>
  </si>
  <si>
    <t>Tranquillo Big</t>
  </si>
  <si>
    <t>Tranquillo Small</t>
  </si>
  <si>
    <t>Tranquillo big</t>
  </si>
  <si>
    <t xml:space="preserve"> </t>
  </si>
  <si>
    <t>Summer</t>
  </si>
  <si>
    <t xml:space="preserve">-  Diesel consumption and Generator-run hours are generally satisfactory. </t>
  </si>
  <si>
    <t>ss</t>
  </si>
  <si>
    <t>Liberville small</t>
  </si>
  <si>
    <t>Libreville Big</t>
  </si>
  <si>
    <t>Venus Small</t>
  </si>
  <si>
    <t>Venus Big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</si>
</sst>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_(* #,##0.00_);_(* \(#,##0.00\);_(* &quot;-&quot;??_);_(@_)"/>
    <numFmt numFmtId="165" formatCode="[$]d\ mmm\ yyyy;@" x16r2:formatCode16="[$-en-NG,1]d\ mmm\ yyyy;@"/>
    <numFmt numFmtId="166" formatCode="#,##0.00\ &quot;LTRS&quot;"/>
  </numFmts>
  <fonts count="34" x14ac:knownFonts="1"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</font>
    <font>
      <sz val="11"/>
      <color theme="1"/>
      <name val="Calibri"/>
      <family val="2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24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 tint="-4.9989318521683403E-2"/>
        <bgColor indexed="64"/>
      </patternFill>
    </fill>
  </fills>
  <borders count="1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indexed="64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indexed="64"/>
      </right>
      <top/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</borders>
  <cellStyleXfs count="1">
    <xf numFmtId="0" fontId="0" fillId="0" borderId="0"/>
  </cellStyleXfs>
  <cellXfs count="56">
    <xf numFmtId="0" fontId="0" fillId="0" borderId="0" xfId="0"/>
    <xf numFmtId="0" fontId="28" fillId="0" borderId="1" xfId="0" applyFont="1" applyBorder="1"/>
    <xf numFmtId="0" fontId="29" fillId="0" borderId="1" xfId="0" applyFont="1" applyBorder="1"/>
    <xf numFmtId="0" fontId="30" fillId="0" borderId="0" xfId="0" applyFont="1"/>
    <xf numFmtId="0" fontId="32" fillId="0" borderId="0" xfId="0" applyFont="1" applyAlignment="1">
      <alignment vertical="center"/>
    </xf>
    <xf numFmtId="14" fontId="0" fillId="0" borderId="0" xfId="0" applyNumberFormat="1"/>
    <xf numFmtId="165" fontId="31" fillId="0" borderId="0" xfId="0" applyNumberFormat="1" applyFont="1"/>
    <xf numFmtId="166" fontId="30" fillId="0" borderId="0" xfId="0" applyNumberFormat="1" applyFont="1"/>
    <xf numFmtId="0" fontId="0" fillId="2" borderId="0" xfId="0" applyFill="1"/>
    <xf numFmtId="0" fontId="0" fillId="2" borderId="2" xfId="0" applyFill="1" applyBorder="1"/>
    <xf numFmtId="0" fontId="0" fillId="2" borderId="4" xfId="0" applyFill="1" applyBorder="1"/>
    <xf numFmtId="0" fontId="0" fillId="2" borderId="3" xfId="0" applyFill="1" applyBorder="1"/>
    <xf numFmtId="165" fontId="33" fillId="0" borderId="0" xfId="0" applyNumberFormat="1" applyFont="1"/>
    <xf numFmtId="0" fontId="27" fillId="0" borderId="0" xfId="0" applyFont="1"/>
    <xf numFmtId="0" fontId="0" fillId="2" borderId="12" xfId="0" applyFill="1" applyBorder="1"/>
    <xf numFmtId="0" fontId="0" fillId="2" borderId="13" xfId="0" applyFill="1" applyBorder="1"/>
    <xf numFmtId="0" fontId="0" fillId="2" borderId="14" xfId="0" applyFill="1" applyBorder="1"/>
    <xf numFmtId="0" fontId="26" fillId="0" borderId="0" xfId="0" applyFont="1"/>
    <xf numFmtId="0" fontId="25" fillId="2" borderId="10" xfId="0" quotePrefix="1" applyFont="1" applyFill="1" applyBorder="1"/>
    <xf numFmtId="0" fontId="25" fillId="2" borderId="11" xfId="0" quotePrefix="1" applyFont="1" applyFill="1" applyBorder="1"/>
    <xf numFmtId="164" fontId="30" fillId="0" borderId="0" xfId="0" applyNumberFormat="1" applyFont="1"/>
    <xf numFmtId="2" fontId="30" fillId="0" borderId="0" xfId="0" applyNumberFormat="1" applyFont="1"/>
    <xf numFmtId="0" fontId="24" fillId="2" borderId="5" xfId="0" quotePrefix="1" applyFont="1" applyFill="1" applyBorder="1"/>
    <xf numFmtId="0" fontId="24" fillId="2" borderId="6" xfId="0" quotePrefix="1" applyFont="1" applyFill="1" applyBorder="1"/>
    <xf numFmtId="0" fontId="23" fillId="2" borderId="5" xfId="0" quotePrefix="1" applyFont="1" applyFill="1" applyBorder="1"/>
    <xf numFmtId="0" fontId="29" fillId="0" borderId="15" xfId="0" applyFont="1" applyBorder="1"/>
    <xf numFmtId="0" fontId="22" fillId="2" borderId="5" xfId="0" quotePrefix="1" applyFont="1" applyFill="1" applyBorder="1"/>
    <xf numFmtId="0" fontId="0" fillId="0" borderId="0" xfId="0" applyAlignment="1">
      <alignment wrapText="1"/>
    </xf>
    <xf numFmtId="0" fontId="21" fillId="0" borderId="0" xfId="0" applyFont="1"/>
    <xf numFmtId="0" fontId="29" fillId="0" borderId="0" xfId="0" applyFont="1"/>
    <xf numFmtId="0" fontId="20" fillId="0" borderId="0" xfId="0" applyFont="1"/>
    <xf numFmtId="0" fontId="19" fillId="0" borderId="0" xfId="0" applyFont="1"/>
    <xf numFmtId="0" fontId="18" fillId="0" borderId="0" xfId="0" applyFont="1"/>
    <xf numFmtId="0" fontId="17" fillId="0" borderId="0" xfId="0" applyFont="1"/>
    <xf numFmtId="0" fontId="16" fillId="0" borderId="0" xfId="0" applyFont="1"/>
    <xf numFmtId="0" fontId="29" fillId="0" borderId="15" xfId="0" applyFont="1" applyBorder="1" applyAlignment="1">
      <alignment wrapText="1"/>
    </xf>
    <xf numFmtId="0" fontId="15" fillId="0" borderId="0" xfId="0" applyFont="1"/>
    <xf numFmtId="0" fontId="14" fillId="2" borderId="10" xfId="0" quotePrefix="1" applyFont="1" applyFill="1" applyBorder="1"/>
    <xf numFmtId="0" fontId="13" fillId="0" borderId="0" xfId="0" quotePrefix="1" applyFont="1"/>
    <xf numFmtId="0" fontId="12" fillId="0" borderId="0" xfId="0" applyFont="1"/>
    <xf numFmtId="0" fontId="11" fillId="0" borderId="0" xfId="0" applyFont="1"/>
    <xf numFmtId="0" fontId="10" fillId="0" borderId="0" xfId="0" applyFont="1"/>
    <xf numFmtId="0" fontId="10" fillId="2" borderId="10" xfId="0" quotePrefix="1" applyFont="1" applyFill="1" applyBorder="1"/>
    <xf numFmtId="0" fontId="9" fillId="2" borderId="5" xfId="0" quotePrefix="1" applyFont="1" applyFill="1" applyBorder="1"/>
    <xf numFmtId="0" fontId="8" fillId="0" borderId="0" xfId="0" applyFont="1"/>
    <xf numFmtId="0" fontId="7" fillId="0" borderId="0" xfId="0" applyFont="1"/>
    <xf numFmtId="0" fontId="6" fillId="0" borderId="0" xfId="0" applyFont="1"/>
    <xf numFmtId="0" fontId="5" fillId="0" borderId="0" xfId="0" applyFont="1"/>
    <xf numFmtId="0" fontId="4" fillId="0" borderId="0" xfId="0" applyFont="1"/>
    <xf numFmtId="0" fontId="3" fillId="0" borderId="0" xfId="0" applyFont="1"/>
    <xf numFmtId="0" fontId="2" fillId="0" borderId="0" xfId="0" applyFont="1"/>
    <xf numFmtId="0" fontId="1" fillId="0" borderId="0" xfId="0" applyFont="1"/>
    <xf numFmtId="0" fontId="1" fillId="0" borderId="0" xfId="0" quotePrefix="1" applyFont="1"/>
    <xf numFmtId="0" fontId="31" fillId="2" borderId="7" xfId="0" applyFont="1" applyFill="1" applyBorder="1" applyAlignment="1">
      <alignment horizontal="center"/>
    </xf>
    <xf numFmtId="0" fontId="31" fillId="2" borderId="8" xfId="0" applyFont="1" applyFill="1" applyBorder="1" applyAlignment="1">
      <alignment horizontal="center"/>
    </xf>
    <xf numFmtId="0" fontId="31" fillId="2" borderId="9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2">
                    <a:lumMod val="95000"/>
                    <a:lumOff val="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>
                <a:solidFill>
                  <a:schemeClr val="tx2">
                    <a:lumMod val="95000"/>
                    <a:lumOff val="5000"/>
                  </a:schemeClr>
                </a:solidFill>
              </a:rPr>
              <a:t>Diesel</a:t>
            </a:r>
            <a:r>
              <a:rPr lang="en-GB" baseline="0">
                <a:solidFill>
                  <a:schemeClr val="tx2">
                    <a:lumMod val="95000"/>
                    <a:lumOff val="5000"/>
                  </a:schemeClr>
                </a:solidFill>
              </a:rPr>
              <a:t> Stock Level</a:t>
            </a:r>
            <a:endParaRPr lang="en-GB">
              <a:solidFill>
                <a:schemeClr val="tx2">
                  <a:lumMod val="95000"/>
                  <a:lumOff val="5000"/>
                </a:schemeClr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2">
                  <a:lumMod val="95000"/>
                  <a:lumOff val="5000"/>
                </a:schemeClr>
              </a:solidFill>
              <a:latin typeface="+mn-lt"/>
              <a:ea typeface="+mn-ea"/>
              <a:cs typeface="+mn-cs"/>
            </a:defRPr>
          </a:pPr>
          <a:endParaRPr lang="en-GB"/>
        </a:p>
      </c:txPr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invertIfNegative val="0"/>
          <c:dPt>
            <c:idx val="0"/>
            <c:invertIfNegative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7246-4820-8A10-2F95D879A7E6}"/>
              </c:ext>
            </c:extLst>
          </c:dPt>
          <c:dPt>
            <c:idx val="1"/>
            <c:invertIfNegative val="0"/>
            <c:bubble3D val="0"/>
            <c:spPr>
              <a:solidFill>
                <a:schemeClr val="accent2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7246-4820-8A10-2F95D879A7E6}"/>
              </c:ext>
            </c:extLst>
          </c:dPt>
          <c:dPt>
            <c:idx val="2"/>
            <c:invertIfNegative val="0"/>
            <c:bubble3D val="0"/>
            <c:spPr>
              <a:solidFill>
                <a:schemeClr val="accent3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7246-4820-8A10-2F95D879A7E6}"/>
              </c:ext>
            </c:extLst>
          </c:dPt>
          <c:dPt>
            <c:idx val="3"/>
            <c:invertIfNegative val="0"/>
            <c:bubble3D val="0"/>
            <c:spPr>
              <a:solidFill>
                <a:schemeClr val="accent4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7-7246-4820-8A10-2F95D879A7E6}"/>
              </c:ext>
            </c:extLst>
          </c:dPt>
          <c:dPt>
            <c:idx val="4"/>
            <c:invertIfNegative val="0"/>
            <c:bubble3D val="0"/>
            <c:spPr>
              <a:solidFill>
                <a:schemeClr val="accent5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9-7246-4820-8A10-2F95D879A7E6}"/>
              </c:ext>
            </c:extLst>
          </c:dPt>
          <c:dPt>
            <c:idx val="5"/>
            <c:invertIfNegative val="0"/>
            <c:bubble3D val="0"/>
            <c:spPr>
              <a:solidFill>
                <a:schemeClr val="accent6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B-7246-4820-8A10-2F95D879A7E6}"/>
              </c:ext>
            </c:extLst>
          </c:dPt>
          <c:dPt>
            <c:idx val="6"/>
            <c:invertIfNegative val="0"/>
            <c:bubble3D val="0"/>
            <c:spPr>
              <a:solidFill>
                <a:schemeClr val="accent1">
                  <a:lumMod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D-7246-4820-8A10-2F95D879A7E6}"/>
              </c:ext>
            </c:extLst>
          </c:dPt>
          <c:dPt>
            <c:idx val="7"/>
            <c:invertIfNegative val="0"/>
            <c:bubble3D val="0"/>
            <c:spPr>
              <a:solidFill>
                <a:schemeClr val="accent2">
                  <a:lumMod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F-7246-4820-8A10-2F95D879A7E6}"/>
              </c:ext>
            </c:extLst>
          </c:dPt>
          <c:dPt>
            <c:idx val="8"/>
            <c:invertIfNegative val="0"/>
            <c:bubble3D val="0"/>
            <c:spPr>
              <a:solidFill>
                <a:schemeClr val="accent3">
                  <a:lumMod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1-7246-4820-8A10-2F95D879A7E6}"/>
              </c:ext>
            </c:extLst>
          </c:dPt>
          <c:dPt>
            <c:idx val="9"/>
            <c:invertIfNegative val="0"/>
            <c:bubble3D val="0"/>
            <c:spPr>
              <a:solidFill>
                <a:schemeClr val="accent4">
                  <a:lumMod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3-07A2-42F3-B247-E4D54574E912}"/>
              </c:ext>
            </c:extLst>
          </c:dPt>
          <c:dPt>
            <c:idx val="10"/>
            <c:invertIfNegative val="0"/>
            <c:bubble3D val="0"/>
            <c:spPr>
              <a:solidFill>
                <a:schemeClr val="accent5">
                  <a:lumMod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5-9A89-4F97-9C7F-B86D2AF65619}"/>
              </c:ext>
            </c:extLst>
          </c:dPt>
          <c:dPt>
            <c:idx val="11"/>
            <c:invertIfNegative val="0"/>
            <c:bubble3D val="0"/>
            <c:spPr>
              <a:solidFill>
                <a:schemeClr val="accent6">
                  <a:lumMod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7-BDFC-47ED-816C-75CCA04E74BC}"/>
              </c:ext>
            </c:extLst>
          </c:dPt>
          <c:dPt>
            <c:idx val="12"/>
            <c:invertIfNegative val="0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>
                <a:noFill/>
              </a:ln>
              <a:effectLst/>
            </c:spPr>
          </c:dPt>
          <c:dPt>
            <c:idx val="13"/>
            <c:invertIfNegative val="0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>
                <a:noFill/>
              </a:ln>
              <a:effectLst/>
            </c:spPr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NG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'Diesel Stock Level'!$B$4:$B$18</c:f>
              <c:strCache>
                <c:ptCount val="14"/>
                <c:pt idx="0">
                  <c:v>Venus Big</c:v>
                </c:pt>
                <c:pt idx="1">
                  <c:v>April</c:v>
                </c:pt>
                <c:pt idx="2">
                  <c:v>Summer</c:v>
                </c:pt>
                <c:pt idx="3">
                  <c:v>April</c:v>
                </c:pt>
                <c:pt idx="4">
                  <c:v>Valley</c:v>
                </c:pt>
                <c:pt idx="5">
                  <c:v>Xii-Lungi</c:v>
                </c:pt>
                <c:pt idx="6">
                  <c:v>Niche</c:v>
                </c:pt>
                <c:pt idx="7">
                  <c:v>Stazia</c:v>
                </c:pt>
                <c:pt idx="8">
                  <c:v>Liberville small</c:v>
                </c:pt>
                <c:pt idx="9">
                  <c:v>Libreville Big</c:v>
                </c:pt>
                <c:pt idx="10">
                  <c:v>Guzape</c:v>
                </c:pt>
                <c:pt idx="11">
                  <c:v>Tranquillo big</c:v>
                </c:pt>
                <c:pt idx="12">
                  <c:v>Tranquillo Small</c:v>
                </c:pt>
                <c:pt idx="13">
                  <c:v>Apex</c:v>
                </c:pt>
              </c:strCache>
            </c:strRef>
          </c:cat>
          <c:val>
            <c:numRef>
              <c:f>'Diesel Stock Level'!$C$3:$C$16</c:f>
              <c:numCache>
                <c:formatCode>General</c:formatCode>
                <c:ptCount val="14"/>
                <c:pt idx="0">
                  <c:v>237.48</c:v>
                </c:pt>
                <c:pt idx="1">
                  <c:v>158.25</c:v>
                </c:pt>
                <c:pt idx="2">
                  <c:v>135</c:v>
                </c:pt>
                <c:pt idx="3">
                  <c:v>150</c:v>
                </c:pt>
                <c:pt idx="4">
                  <c:v>205</c:v>
                </c:pt>
                <c:pt idx="5">
                  <c:v>0</c:v>
                </c:pt>
                <c:pt idx="6">
                  <c:v>103.5</c:v>
                </c:pt>
                <c:pt idx="7">
                  <c:v>15</c:v>
                </c:pt>
                <c:pt idx="8">
                  <c:v>360</c:v>
                </c:pt>
                <c:pt idx="9">
                  <c:v>54</c:v>
                </c:pt>
                <c:pt idx="10">
                  <c:v>97.5</c:v>
                </c:pt>
                <c:pt idx="11">
                  <c:v>95</c:v>
                </c:pt>
                <c:pt idx="12">
                  <c:v>203</c:v>
                </c:pt>
                <c:pt idx="13">
                  <c:v>405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4DE-4A3A-9C82-915896F194C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754034847"/>
        <c:axId val="1754032927"/>
      </c:barChart>
      <c:catAx>
        <c:axId val="175403484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>
                    <a:lumMod val="95000"/>
                    <a:lumOff val="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NG"/>
          </a:p>
        </c:txPr>
        <c:crossAx val="1754032927"/>
        <c:crosses val="autoZero"/>
        <c:auto val="1"/>
        <c:lblAlgn val="ctr"/>
        <c:lblOffset val="100"/>
        <c:noMultiLvlLbl val="0"/>
      </c:catAx>
      <c:valAx>
        <c:axId val="175403292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95000"/>
                    <a:lumOff val="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NG"/>
          </a:p>
        </c:txPr>
        <c:crossAx val="175403484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NG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Diesel Consumed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7.9247594050743664E-2"/>
          <c:y val="0.13517391304347828"/>
          <c:w val="0.89019685039370078"/>
          <c:h val="0.55526840123245458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'Diesel Consumed'!$C$3</c:f>
              <c:strCache>
                <c:ptCount val="1"/>
                <c:pt idx="0">
                  <c:v>Venus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NG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'Diesel Consumed'!$D$2</c:f>
              <c:strCache>
                <c:ptCount val="1"/>
                <c:pt idx="0">
                  <c:v>Diesel Consumed</c:v>
                </c:pt>
              </c:strCache>
            </c:strRef>
          </c:cat>
          <c:val>
            <c:numRef>
              <c:f>'Diesel Consumed'!$D$3</c:f>
              <c:numCache>
                <c:formatCode>General</c:formatCode>
                <c:ptCount val="1"/>
                <c:pt idx="0">
                  <c:v>6.12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66-4259-4852-A801-0CB0C5A2187A}"/>
            </c:ext>
          </c:extLst>
        </c:ser>
        <c:ser>
          <c:idx val="1"/>
          <c:order val="1"/>
          <c:tx>
            <c:strRef>
              <c:f>'Diesel Consumed'!$C$4</c:f>
              <c:strCache>
                <c:ptCount val="1"/>
                <c:pt idx="0">
                  <c:v>April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NG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'Diesel Consumed'!$D$2</c:f>
              <c:strCache>
                <c:ptCount val="1"/>
                <c:pt idx="0">
                  <c:v>Diesel Consumed</c:v>
                </c:pt>
              </c:strCache>
            </c:strRef>
          </c:cat>
          <c:val>
            <c:numRef>
              <c:f>'Diesel Consumed'!$D$4</c:f>
              <c:numCache>
                <c:formatCode>General</c:formatCode>
                <c:ptCount val="1"/>
                <c:pt idx="0">
                  <c:v>37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68-4259-4852-A801-0CB0C5A2187A}"/>
            </c:ext>
          </c:extLst>
        </c:ser>
        <c:ser>
          <c:idx val="2"/>
          <c:order val="2"/>
          <c:tx>
            <c:strRef>
              <c:f>'Diesel Consumed'!$C$5</c:f>
              <c:strCache>
                <c:ptCount val="1"/>
                <c:pt idx="0">
                  <c:v>April (BIG) (Est)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NG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'Diesel Consumed'!$D$2</c:f>
              <c:strCache>
                <c:ptCount val="1"/>
                <c:pt idx="0">
                  <c:v>Diesel Consumed</c:v>
                </c:pt>
              </c:strCache>
            </c:strRef>
          </c:cat>
          <c:val>
            <c:numRef>
              <c:f>'Diesel Consumed'!$D$5</c:f>
              <c:numCache>
                <c:formatCode>General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6A-4259-4852-A801-0CB0C5A2187A}"/>
            </c:ext>
          </c:extLst>
        </c:ser>
        <c:ser>
          <c:idx val="3"/>
          <c:order val="3"/>
          <c:tx>
            <c:strRef>
              <c:f>'Diesel Consumed'!$C$6</c:f>
              <c:strCache>
                <c:ptCount val="1"/>
                <c:pt idx="0">
                  <c:v>Valley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NG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'Diesel Consumed'!$D$2</c:f>
              <c:strCache>
                <c:ptCount val="1"/>
                <c:pt idx="0">
                  <c:v>Diesel Consumed</c:v>
                </c:pt>
              </c:strCache>
            </c:strRef>
          </c:cat>
          <c:val>
            <c:numRef>
              <c:f>'Diesel Consumed'!$D$6</c:f>
              <c:numCache>
                <c:formatCode>General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6C-4259-4852-A801-0CB0C5A2187A}"/>
            </c:ext>
          </c:extLst>
        </c:ser>
        <c:ser>
          <c:idx val="4"/>
          <c:order val="4"/>
          <c:tx>
            <c:strRef>
              <c:f>'Diesel Consumed'!$C$7</c:f>
              <c:strCache>
                <c:ptCount val="1"/>
                <c:pt idx="0">
                  <c:v>Xii-Lungi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NG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'Diesel Consumed'!$D$2</c:f>
              <c:strCache>
                <c:ptCount val="1"/>
                <c:pt idx="0">
                  <c:v>Diesel Consumed</c:v>
                </c:pt>
              </c:strCache>
            </c:strRef>
          </c:cat>
          <c:val>
            <c:numRef>
              <c:f>'Diesel Consumed'!$D$7</c:f>
              <c:numCache>
                <c:formatCode>General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6E-4259-4852-A801-0CB0C5A2187A}"/>
            </c:ext>
          </c:extLst>
        </c:ser>
        <c:ser>
          <c:idx val="5"/>
          <c:order val="5"/>
          <c:tx>
            <c:strRef>
              <c:f>'Diesel Consumed'!$C$8</c:f>
              <c:strCache>
                <c:ptCount val="1"/>
                <c:pt idx="0">
                  <c:v>Niche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NG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'Diesel Consumed'!$D$2</c:f>
              <c:strCache>
                <c:ptCount val="1"/>
                <c:pt idx="0">
                  <c:v>Diesel Consumed</c:v>
                </c:pt>
              </c:strCache>
            </c:strRef>
          </c:cat>
          <c:val>
            <c:numRef>
              <c:f>'Diesel Consumed'!$D$8</c:f>
              <c:numCache>
                <c:formatCode>General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70-4259-4852-A801-0CB0C5A2187A}"/>
            </c:ext>
          </c:extLst>
        </c:ser>
        <c:ser>
          <c:idx val="6"/>
          <c:order val="6"/>
          <c:tx>
            <c:strRef>
              <c:f>'Diesel Consumed'!$C$9</c:f>
              <c:strCache>
                <c:ptCount val="1"/>
                <c:pt idx="0">
                  <c:v>Stazia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NG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'Diesel Consumed'!$D$2</c:f>
              <c:strCache>
                <c:ptCount val="1"/>
                <c:pt idx="0">
                  <c:v>Diesel Consumed</c:v>
                </c:pt>
              </c:strCache>
            </c:strRef>
          </c:cat>
          <c:val>
            <c:numRef>
              <c:f>'Diesel Consumed'!$D$9</c:f>
              <c:numCache>
                <c:formatCode>General</c:formatCode>
                <c:ptCount val="1"/>
                <c:pt idx="0">
                  <c:v>55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72-4259-4852-A801-0CB0C5A2187A}"/>
            </c:ext>
          </c:extLst>
        </c:ser>
        <c:ser>
          <c:idx val="7"/>
          <c:order val="7"/>
          <c:tx>
            <c:strRef>
              <c:f>'Diesel Consumed'!$C$10</c:f>
              <c:strCache>
                <c:ptCount val="1"/>
                <c:pt idx="0">
                  <c:v>Libreville</c:v>
                </c:pt>
              </c:strCache>
            </c:strRef>
          </c:tx>
          <c:spPr>
            <a:solidFill>
              <a:schemeClr val="accent2">
                <a:lumMod val="6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NG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'Diesel Consumed'!$D$2</c:f>
              <c:strCache>
                <c:ptCount val="1"/>
                <c:pt idx="0">
                  <c:v>Diesel Consumed</c:v>
                </c:pt>
              </c:strCache>
            </c:strRef>
          </c:cat>
          <c:val>
            <c:numRef>
              <c:f>'Diesel Consumed'!$D$10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74-4259-4852-A801-0CB0C5A2187A}"/>
            </c:ext>
          </c:extLst>
        </c:ser>
        <c:ser>
          <c:idx val="8"/>
          <c:order val="8"/>
          <c:tx>
            <c:strRef>
              <c:f>'Diesel Consumed'!$C$11</c:f>
              <c:strCache>
                <c:ptCount val="1"/>
                <c:pt idx="0">
                  <c:v>Guzape</c:v>
                </c:pt>
              </c:strCache>
            </c:strRef>
          </c:tx>
          <c:spPr>
            <a:solidFill>
              <a:schemeClr val="accent3">
                <a:lumMod val="6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NG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'Diesel Consumed'!$D$2</c:f>
              <c:strCache>
                <c:ptCount val="1"/>
                <c:pt idx="0">
                  <c:v>Diesel Consumed</c:v>
                </c:pt>
              </c:strCache>
            </c:strRef>
          </c:cat>
          <c:val>
            <c:numRef>
              <c:f>'Diesel Consumed'!$D$11</c:f>
              <c:numCache>
                <c:formatCode>General</c:formatCode>
                <c:ptCount val="1"/>
                <c:pt idx="0">
                  <c:v>108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76-4259-4852-A801-0CB0C5A2187A}"/>
            </c:ext>
          </c:extLst>
        </c:ser>
        <c:ser>
          <c:idx val="9"/>
          <c:order val="9"/>
          <c:tx>
            <c:strRef>
              <c:f>'Diesel Consumed'!$C$12</c:f>
              <c:strCache>
                <c:ptCount val="1"/>
                <c:pt idx="0">
                  <c:v>Tranquillo Big</c:v>
                </c:pt>
              </c:strCache>
            </c:strRef>
          </c:tx>
          <c:spPr>
            <a:solidFill>
              <a:schemeClr val="accent4">
                <a:lumMod val="6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NG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'Diesel Consumed'!$D$2</c:f>
              <c:strCache>
                <c:ptCount val="1"/>
                <c:pt idx="0">
                  <c:v>Diesel Consumed</c:v>
                </c:pt>
              </c:strCache>
            </c:strRef>
          </c:cat>
          <c:val>
            <c:numRef>
              <c:f>'Diesel Consumed'!$D$12</c:f>
              <c:numCache>
                <c:formatCode>General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78-4259-4852-A801-0CB0C5A2187A}"/>
            </c:ext>
          </c:extLst>
        </c:ser>
        <c:ser>
          <c:idx val="10"/>
          <c:order val="10"/>
          <c:tx>
            <c:strRef>
              <c:f>'Diesel Consumed'!$C$13</c:f>
              <c:strCache>
                <c:ptCount val="1"/>
                <c:pt idx="0">
                  <c:v>Tranquillo Small</c:v>
                </c:pt>
              </c:strCache>
            </c:strRef>
          </c:tx>
          <c:spPr>
            <a:solidFill>
              <a:schemeClr val="accent5">
                <a:lumMod val="6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NG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'Diesel Consumed'!$D$2</c:f>
              <c:strCache>
                <c:ptCount val="1"/>
                <c:pt idx="0">
                  <c:v>Diesel Consumed</c:v>
                </c:pt>
              </c:strCache>
            </c:strRef>
          </c:cat>
          <c:val>
            <c:numRef>
              <c:f>'Diesel Consumed'!$D$13</c:f>
              <c:numCache>
                <c:formatCode>General</c:formatCode>
                <c:ptCount val="1"/>
                <c:pt idx="0">
                  <c:v>14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E3D-4E46-A890-904CDE83E616}"/>
            </c:ext>
          </c:extLst>
        </c:ser>
        <c:ser>
          <c:idx val="11"/>
          <c:order val="11"/>
          <c:tx>
            <c:strRef>
              <c:f>'Diesel Consumed'!$C$14</c:f>
              <c:strCache>
                <c:ptCount val="1"/>
                <c:pt idx="0">
                  <c:v>Apex</c:v>
                </c:pt>
              </c:strCache>
            </c:strRef>
          </c:tx>
          <c:spPr>
            <a:solidFill>
              <a:schemeClr val="accent6">
                <a:lumMod val="6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NG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'Diesel Consumed'!$D$2</c:f>
              <c:strCache>
                <c:ptCount val="1"/>
                <c:pt idx="0">
                  <c:v>Diesel Consumed</c:v>
                </c:pt>
              </c:strCache>
            </c:strRef>
          </c:cat>
          <c:val>
            <c:numRef>
              <c:f>'Diesel Consumed'!$D$14</c:f>
              <c:numCache>
                <c:formatCode>General</c:formatCode>
                <c:ptCount val="1"/>
                <c:pt idx="0">
                  <c:v>37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601-4D6C-A543-BA18CF2679B9}"/>
            </c:ext>
          </c:extLst>
        </c:ser>
        <c:ser>
          <c:idx val="12"/>
          <c:order val="12"/>
          <c:tx>
            <c:strRef>
              <c:f>'Diesel Consumed'!$C$15</c:f>
              <c:strCache>
                <c:ptCount val="1"/>
              </c:strCache>
            </c:strRef>
          </c:tx>
          <c:spPr>
            <a:solidFill>
              <a:schemeClr val="accent1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NG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'Diesel Consumed'!$D$2</c:f>
              <c:strCache>
                <c:ptCount val="1"/>
                <c:pt idx="0">
                  <c:v>Diesel Consumed</c:v>
                </c:pt>
              </c:strCache>
            </c:strRef>
          </c:cat>
          <c:val>
            <c:numRef>
              <c:f>'Diesel Consumed'!$D$15</c:f>
              <c:numCache>
                <c:formatCode>General</c:formatCode>
                <c:ptCount val="1"/>
              </c:numCache>
            </c:numRef>
          </c:val>
          <c:extLst>
            <c:ext xmlns:c16="http://schemas.microsoft.com/office/drawing/2014/chart" uri="{C3380CC4-5D6E-409C-BE32-E72D297353CC}">
              <c16:uniqueId val="{00000000-9D47-4E6D-A425-3B3C41B067BC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98596927"/>
        <c:axId val="198610847"/>
      </c:barChart>
      <c:catAx>
        <c:axId val="198596927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8610847"/>
        <c:crosses val="autoZero"/>
        <c:auto val="1"/>
        <c:lblAlgn val="ctr"/>
        <c:lblOffset val="100"/>
        <c:noMultiLvlLbl val="0"/>
      </c:catAx>
      <c:valAx>
        <c:axId val="19861084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859692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NG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cked"/>
        <c:varyColors val="0"/>
        <c:ser>
          <c:idx val="0"/>
          <c:order val="0"/>
          <c:tx>
            <c:strRef>
              <c:f>'Total Hours'!$D$2</c:f>
              <c:strCache>
                <c:ptCount val="1"/>
                <c:pt idx="0">
                  <c:v>Total Hours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'Total Hours'!$C$3:$C$14</c:f>
              <c:strCache>
                <c:ptCount val="11"/>
                <c:pt idx="0">
                  <c:v>Venus</c:v>
                </c:pt>
                <c:pt idx="1">
                  <c:v>April</c:v>
                </c:pt>
                <c:pt idx="2">
                  <c:v>April (BIG)</c:v>
                </c:pt>
                <c:pt idx="3">
                  <c:v>Valley</c:v>
                </c:pt>
                <c:pt idx="4">
                  <c:v>Xii-Lungi</c:v>
                </c:pt>
                <c:pt idx="5">
                  <c:v>Niche</c:v>
                </c:pt>
                <c:pt idx="6">
                  <c:v>Stazia</c:v>
                </c:pt>
                <c:pt idx="7">
                  <c:v>Libreville</c:v>
                </c:pt>
                <c:pt idx="8">
                  <c:v>Guzape</c:v>
                </c:pt>
                <c:pt idx="9">
                  <c:v>Tranquillo Big</c:v>
                </c:pt>
                <c:pt idx="10">
                  <c:v>Tranquillo Small</c:v>
                </c:pt>
              </c:strCache>
            </c:strRef>
          </c:cat>
          <c:val>
            <c:numRef>
              <c:f>'Total Hours'!$D$3:$D$14</c:f>
              <c:numCache>
                <c:formatCode>General</c:formatCode>
                <c:ptCount val="12"/>
                <c:pt idx="0">
                  <c:v>0.48</c:v>
                </c:pt>
                <c:pt idx="1">
                  <c:v>13.56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1.19</c:v>
                </c:pt>
                <c:pt idx="6">
                  <c:v>0</c:v>
                </c:pt>
                <c:pt idx="7">
                  <c:v>1</c:v>
                </c:pt>
                <c:pt idx="8">
                  <c:v>20.8</c:v>
                </c:pt>
                <c:pt idx="9">
                  <c:v>0</c:v>
                </c:pt>
                <c:pt idx="10">
                  <c:v>1.5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1A8-4EB3-97F4-ECEDD6F15810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198601727"/>
        <c:axId val="198603167"/>
      </c:lineChart>
      <c:catAx>
        <c:axId val="19860172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8603167"/>
        <c:crosses val="autoZero"/>
        <c:auto val="1"/>
        <c:lblAlgn val="ctr"/>
        <c:lblOffset val="100"/>
        <c:noMultiLvlLbl val="0"/>
      </c:catAx>
      <c:valAx>
        <c:axId val="19860316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860172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Diesel Reserve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'Diesel Reserve'!$C$4</c:f>
              <c:strCache>
                <c:ptCount val="1"/>
                <c:pt idx="0">
                  <c:v>April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'Diesel Reserve'!$D$3</c:f>
              <c:strCache>
                <c:ptCount val="1"/>
                <c:pt idx="0">
                  <c:v>Diesel Reserve Level</c:v>
                </c:pt>
              </c:strCache>
            </c:strRef>
          </c:cat>
          <c:val>
            <c:numRef>
              <c:f>'Diesel Reserve'!$D$4</c:f>
              <c:numCache>
                <c:formatCode>General</c:formatCode>
                <c:ptCount val="1"/>
                <c:pt idx="0">
                  <c:v>180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30C-441A-8DD2-EB8DE01348F6}"/>
            </c:ext>
          </c:extLst>
        </c:ser>
        <c:ser>
          <c:idx val="1"/>
          <c:order val="1"/>
          <c:tx>
            <c:strRef>
              <c:f>'Diesel Reserve'!$C$5</c:f>
              <c:strCache>
                <c:ptCount val="1"/>
                <c:pt idx="0">
                  <c:v>Xii-Lungi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'Diesel Reserve'!$D$3</c:f>
              <c:strCache>
                <c:ptCount val="1"/>
                <c:pt idx="0">
                  <c:v>Diesel Reserve Level</c:v>
                </c:pt>
              </c:strCache>
            </c:strRef>
          </c:cat>
          <c:val>
            <c:numRef>
              <c:f>'Diesel Reserve'!$D$5</c:f>
              <c:numCache>
                <c:formatCode>General</c:formatCode>
                <c:ptCount val="1"/>
                <c:pt idx="0">
                  <c:v>30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30C-441A-8DD2-EB8DE01348F6}"/>
            </c:ext>
          </c:extLst>
        </c:ser>
        <c:ser>
          <c:idx val="2"/>
          <c:order val="2"/>
          <c:tx>
            <c:strRef>
              <c:f>'Diesel Reserve'!$C$6</c:f>
              <c:strCache>
                <c:ptCount val="1"/>
                <c:pt idx="0">
                  <c:v>Niche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'Diesel Reserve'!$D$3</c:f>
              <c:strCache>
                <c:ptCount val="1"/>
                <c:pt idx="0">
                  <c:v>Diesel Reserve Level</c:v>
                </c:pt>
              </c:strCache>
            </c:strRef>
          </c:cat>
          <c:val>
            <c:numRef>
              <c:f>'Diesel Reserve'!$D$6</c:f>
              <c:numCache>
                <c:formatCode>General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B30C-441A-8DD2-EB8DE01348F6}"/>
            </c:ext>
          </c:extLst>
        </c:ser>
        <c:ser>
          <c:idx val="3"/>
          <c:order val="3"/>
          <c:tx>
            <c:strRef>
              <c:f>'Diesel Reserve'!$C$7</c:f>
              <c:strCache>
                <c:ptCount val="1"/>
                <c:pt idx="0">
                  <c:v>Libreville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'Diesel Reserve'!$D$3</c:f>
              <c:strCache>
                <c:ptCount val="1"/>
                <c:pt idx="0">
                  <c:v>Diesel Reserve Level</c:v>
                </c:pt>
              </c:strCache>
            </c:strRef>
          </c:cat>
          <c:val>
            <c:numRef>
              <c:f>'Diesel Reserve'!$D$7</c:f>
              <c:numCache>
                <c:formatCode>General</c:formatCode>
                <c:ptCount val="1"/>
                <c:pt idx="0">
                  <c:v>150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B30C-441A-8DD2-EB8DE01348F6}"/>
            </c:ext>
          </c:extLst>
        </c:ser>
        <c:ser>
          <c:idx val="4"/>
          <c:order val="4"/>
          <c:tx>
            <c:strRef>
              <c:f>'Diesel Reserve'!$C$8</c:f>
              <c:strCache>
                <c:ptCount val="1"/>
                <c:pt idx="0">
                  <c:v>Tranquillo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'Diesel Reserve'!$D$3</c:f>
              <c:strCache>
                <c:ptCount val="1"/>
                <c:pt idx="0">
                  <c:v>Diesel Reserve Level</c:v>
                </c:pt>
              </c:strCache>
            </c:strRef>
          </c:cat>
          <c:val>
            <c:numRef>
              <c:f>'Diesel Reserve'!$D$8</c:f>
              <c:numCache>
                <c:formatCode>General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B30C-441A-8DD2-EB8DE01348F6}"/>
            </c:ext>
          </c:extLst>
        </c:ser>
        <c:ser>
          <c:idx val="5"/>
          <c:order val="5"/>
          <c:tx>
            <c:strRef>
              <c:f>'Diesel Reserve'!$C$9</c:f>
              <c:strCache>
                <c:ptCount val="1"/>
                <c:pt idx="0">
                  <c:v>Stazia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'Diesel Reserve'!$D$3</c:f>
              <c:strCache>
                <c:ptCount val="1"/>
                <c:pt idx="0">
                  <c:v>Diesel Reserve Level</c:v>
                </c:pt>
              </c:strCache>
            </c:strRef>
          </c:cat>
          <c:val>
            <c:numRef>
              <c:f>'Diesel Reserve'!$D$9</c:f>
              <c:numCache>
                <c:formatCode>General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B30C-441A-8DD2-EB8DE01348F6}"/>
            </c:ext>
          </c:extLst>
        </c:ser>
        <c:ser>
          <c:idx val="6"/>
          <c:order val="6"/>
          <c:tx>
            <c:strRef>
              <c:f>'Diesel Reserve'!$C$10</c:f>
              <c:strCache>
                <c:ptCount val="1"/>
                <c:pt idx="0">
                  <c:v>Venus</c:v>
                </c:pt>
              </c:strCache>
            </c:strRef>
          </c:tx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'Diesel Reserve'!$D$3</c:f>
              <c:strCache>
                <c:ptCount val="1"/>
                <c:pt idx="0">
                  <c:v>Diesel Reserve Level</c:v>
                </c:pt>
              </c:strCache>
            </c:strRef>
          </c:cat>
          <c:val>
            <c:numRef>
              <c:f>'Diesel Reserve'!$D$10</c:f>
              <c:numCache>
                <c:formatCode>General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B30C-441A-8DD2-EB8DE01348F6}"/>
            </c:ext>
          </c:extLst>
        </c:ser>
        <c:ser>
          <c:idx val="7"/>
          <c:order val="7"/>
          <c:tx>
            <c:strRef>
              <c:f>'Diesel Reserve'!$C$11</c:f>
              <c:strCache>
                <c:ptCount val="1"/>
                <c:pt idx="0">
                  <c:v>Guzape</c:v>
                </c:pt>
              </c:strCache>
            </c:strRef>
          </c:tx>
          <c:spPr>
            <a:solidFill>
              <a:schemeClr val="accent2">
                <a:lumMod val="6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'Diesel Reserve'!$D$3</c:f>
              <c:strCache>
                <c:ptCount val="1"/>
                <c:pt idx="0">
                  <c:v>Diesel Reserve Level</c:v>
                </c:pt>
              </c:strCache>
            </c:strRef>
          </c:cat>
          <c:val>
            <c:numRef>
              <c:f>'Diesel Reserve'!$D$11</c:f>
              <c:numCache>
                <c:formatCode>General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B30C-441A-8DD2-EB8DE01348F6}"/>
            </c:ext>
          </c:extLst>
        </c:ser>
        <c:ser>
          <c:idx val="8"/>
          <c:order val="8"/>
          <c:tx>
            <c:strRef>
              <c:f>'Diesel Reserve'!$C$12</c:f>
              <c:strCache>
                <c:ptCount val="1"/>
                <c:pt idx="0">
                  <c:v>Summer</c:v>
                </c:pt>
              </c:strCache>
            </c:strRef>
          </c:tx>
          <c:spPr>
            <a:solidFill>
              <a:schemeClr val="accent3">
                <a:lumMod val="6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NG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'Diesel Reserve'!$D$3</c:f>
              <c:strCache>
                <c:ptCount val="1"/>
                <c:pt idx="0">
                  <c:v>Diesel Reserve Level</c:v>
                </c:pt>
              </c:strCache>
            </c:strRef>
          </c:cat>
          <c:val>
            <c:numRef>
              <c:f>'Diesel Reserve'!$D$12</c:f>
              <c:numCache>
                <c:formatCode>General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930-4BCA-9F05-D3630B668CC1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776417024"/>
        <c:axId val="776408384"/>
      </c:barChart>
      <c:catAx>
        <c:axId val="77641702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76408384"/>
        <c:crosses val="autoZero"/>
        <c:auto val="1"/>
        <c:lblAlgn val="ctr"/>
        <c:lblOffset val="100"/>
        <c:noMultiLvlLbl val="0"/>
      </c:catAx>
      <c:valAx>
        <c:axId val="7764083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7641702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Diesel Reserve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'Diesel Reserve'!$C$4</c:f>
              <c:strCache>
                <c:ptCount val="1"/>
                <c:pt idx="0">
                  <c:v>April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'Diesel Reserve'!$D$3</c:f>
              <c:strCache>
                <c:ptCount val="1"/>
                <c:pt idx="0">
                  <c:v>Diesel Reserve Level</c:v>
                </c:pt>
              </c:strCache>
            </c:strRef>
          </c:cat>
          <c:val>
            <c:numRef>
              <c:f>'Diesel Reserve'!$D$4</c:f>
              <c:numCache>
                <c:formatCode>General</c:formatCode>
                <c:ptCount val="1"/>
                <c:pt idx="0">
                  <c:v>180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F54-4167-916D-B367BA170731}"/>
            </c:ext>
          </c:extLst>
        </c:ser>
        <c:ser>
          <c:idx val="1"/>
          <c:order val="1"/>
          <c:tx>
            <c:strRef>
              <c:f>'Diesel Reserve'!$C$5</c:f>
              <c:strCache>
                <c:ptCount val="1"/>
                <c:pt idx="0">
                  <c:v>Xii-Lungi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'Diesel Reserve'!$D$3</c:f>
              <c:strCache>
                <c:ptCount val="1"/>
                <c:pt idx="0">
                  <c:v>Diesel Reserve Level</c:v>
                </c:pt>
              </c:strCache>
            </c:strRef>
          </c:cat>
          <c:val>
            <c:numRef>
              <c:f>'Diesel Reserve'!$D$5</c:f>
              <c:numCache>
                <c:formatCode>General</c:formatCode>
                <c:ptCount val="1"/>
                <c:pt idx="0">
                  <c:v>30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F54-4167-916D-B367BA170731}"/>
            </c:ext>
          </c:extLst>
        </c:ser>
        <c:ser>
          <c:idx val="2"/>
          <c:order val="2"/>
          <c:tx>
            <c:strRef>
              <c:f>'Diesel Reserve'!$C$6</c:f>
              <c:strCache>
                <c:ptCount val="1"/>
                <c:pt idx="0">
                  <c:v>Niche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'Diesel Reserve'!$D$3</c:f>
              <c:strCache>
                <c:ptCount val="1"/>
                <c:pt idx="0">
                  <c:v>Diesel Reserve Level</c:v>
                </c:pt>
              </c:strCache>
            </c:strRef>
          </c:cat>
          <c:val>
            <c:numRef>
              <c:f>'Diesel Reserve'!$D$6</c:f>
              <c:numCache>
                <c:formatCode>General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BF54-4167-916D-B367BA170731}"/>
            </c:ext>
          </c:extLst>
        </c:ser>
        <c:ser>
          <c:idx val="3"/>
          <c:order val="3"/>
          <c:tx>
            <c:strRef>
              <c:f>'Diesel Reserve'!$C$7</c:f>
              <c:strCache>
                <c:ptCount val="1"/>
                <c:pt idx="0">
                  <c:v>Libreville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'Diesel Reserve'!$D$3</c:f>
              <c:strCache>
                <c:ptCount val="1"/>
                <c:pt idx="0">
                  <c:v>Diesel Reserve Level</c:v>
                </c:pt>
              </c:strCache>
            </c:strRef>
          </c:cat>
          <c:val>
            <c:numRef>
              <c:f>'Diesel Reserve'!$D$7</c:f>
              <c:numCache>
                <c:formatCode>General</c:formatCode>
                <c:ptCount val="1"/>
                <c:pt idx="0">
                  <c:v>150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BF54-4167-916D-B367BA170731}"/>
            </c:ext>
          </c:extLst>
        </c:ser>
        <c:ser>
          <c:idx val="4"/>
          <c:order val="4"/>
          <c:tx>
            <c:strRef>
              <c:f>'Diesel Reserve'!$C$8</c:f>
              <c:strCache>
                <c:ptCount val="1"/>
                <c:pt idx="0">
                  <c:v>Tranquillo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'Diesel Reserve'!$D$3</c:f>
              <c:strCache>
                <c:ptCount val="1"/>
                <c:pt idx="0">
                  <c:v>Diesel Reserve Level</c:v>
                </c:pt>
              </c:strCache>
            </c:strRef>
          </c:cat>
          <c:val>
            <c:numRef>
              <c:f>'Diesel Reserve'!$D$8</c:f>
              <c:numCache>
                <c:formatCode>General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BF54-4167-916D-B367BA170731}"/>
            </c:ext>
          </c:extLst>
        </c:ser>
        <c:ser>
          <c:idx val="5"/>
          <c:order val="5"/>
          <c:tx>
            <c:strRef>
              <c:f>'Diesel Reserve'!$C$9</c:f>
              <c:strCache>
                <c:ptCount val="1"/>
                <c:pt idx="0">
                  <c:v>Stazia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'Diesel Reserve'!$D$3</c:f>
              <c:strCache>
                <c:ptCount val="1"/>
                <c:pt idx="0">
                  <c:v>Diesel Reserve Level</c:v>
                </c:pt>
              </c:strCache>
            </c:strRef>
          </c:cat>
          <c:val>
            <c:numRef>
              <c:f>'Diesel Reserve'!$D$9</c:f>
              <c:numCache>
                <c:formatCode>General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BF54-4167-916D-B367BA170731}"/>
            </c:ext>
          </c:extLst>
        </c:ser>
        <c:ser>
          <c:idx val="6"/>
          <c:order val="6"/>
          <c:tx>
            <c:strRef>
              <c:f>'Diesel Reserve'!$C$10</c:f>
              <c:strCache>
                <c:ptCount val="1"/>
                <c:pt idx="0">
                  <c:v>Venus</c:v>
                </c:pt>
              </c:strCache>
            </c:strRef>
          </c:tx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'Diesel Reserve'!$D$3</c:f>
              <c:strCache>
                <c:ptCount val="1"/>
                <c:pt idx="0">
                  <c:v>Diesel Reserve Level</c:v>
                </c:pt>
              </c:strCache>
            </c:strRef>
          </c:cat>
          <c:val>
            <c:numRef>
              <c:f>'Diesel Reserve'!$D$10</c:f>
              <c:numCache>
                <c:formatCode>General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BF54-4167-916D-B367BA170731}"/>
            </c:ext>
          </c:extLst>
        </c:ser>
        <c:ser>
          <c:idx val="7"/>
          <c:order val="7"/>
          <c:tx>
            <c:strRef>
              <c:f>'Diesel Reserve'!$C$11</c:f>
              <c:strCache>
                <c:ptCount val="1"/>
                <c:pt idx="0">
                  <c:v>Guzape</c:v>
                </c:pt>
              </c:strCache>
            </c:strRef>
          </c:tx>
          <c:spPr>
            <a:solidFill>
              <a:schemeClr val="accent2">
                <a:lumMod val="6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'Diesel Reserve'!$D$3</c:f>
              <c:strCache>
                <c:ptCount val="1"/>
                <c:pt idx="0">
                  <c:v>Diesel Reserve Level</c:v>
                </c:pt>
              </c:strCache>
            </c:strRef>
          </c:cat>
          <c:val>
            <c:numRef>
              <c:f>'Diesel Reserve'!$D$11</c:f>
              <c:numCache>
                <c:formatCode>General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BF54-4167-916D-B367BA170731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776417024"/>
        <c:axId val="776408384"/>
      </c:barChart>
      <c:catAx>
        <c:axId val="77641702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76408384"/>
        <c:crosses val="autoZero"/>
        <c:auto val="1"/>
        <c:lblAlgn val="ctr"/>
        <c:lblOffset val="100"/>
        <c:noMultiLvlLbl val="0"/>
      </c:catAx>
      <c:valAx>
        <c:axId val="7764083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7641702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 orientation="portrait"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Diesel Consumed</a:t>
            </a:r>
          </a:p>
        </c:rich>
      </c:tx>
      <c:layout>
        <c:manualLayout>
          <c:xMode val="edge"/>
          <c:yMode val="edge"/>
          <c:x val="0.350318058395995"/>
          <c:y val="1.768293248925564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7.9247594050743664E-2"/>
          <c:y val="0.13517391304347828"/>
          <c:w val="0.89019685039370078"/>
          <c:h val="0.55526840123245458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'Diesel Consumed'!$C$3</c:f>
              <c:strCache>
                <c:ptCount val="1"/>
                <c:pt idx="0">
                  <c:v>Venus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NG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'Diesel Consumed'!$D$2</c:f>
              <c:strCache>
                <c:ptCount val="1"/>
                <c:pt idx="0">
                  <c:v>Diesel Consumed</c:v>
                </c:pt>
              </c:strCache>
            </c:strRef>
          </c:cat>
          <c:val>
            <c:numRef>
              <c:f>'Diesel Consumed'!$D$3</c:f>
              <c:numCache>
                <c:formatCode>General</c:formatCode>
                <c:ptCount val="1"/>
                <c:pt idx="0">
                  <c:v>6.12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20B-4582-A550-EAF3D907E669}"/>
            </c:ext>
          </c:extLst>
        </c:ser>
        <c:ser>
          <c:idx val="1"/>
          <c:order val="1"/>
          <c:tx>
            <c:strRef>
              <c:f>'Diesel Consumed'!$C$4</c:f>
              <c:strCache>
                <c:ptCount val="1"/>
                <c:pt idx="0">
                  <c:v>April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NG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'Diesel Consumed'!$D$2</c:f>
              <c:strCache>
                <c:ptCount val="1"/>
                <c:pt idx="0">
                  <c:v>Diesel Consumed</c:v>
                </c:pt>
              </c:strCache>
            </c:strRef>
          </c:cat>
          <c:val>
            <c:numRef>
              <c:f>'Diesel Consumed'!$D$4</c:f>
              <c:numCache>
                <c:formatCode>General</c:formatCode>
                <c:ptCount val="1"/>
                <c:pt idx="0">
                  <c:v>37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20B-4582-A550-EAF3D907E669}"/>
            </c:ext>
          </c:extLst>
        </c:ser>
        <c:ser>
          <c:idx val="2"/>
          <c:order val="2"/>
          <c:tx>
            <c:strRef>
              <c:f>'Diesel Consumed'!$C$5</c:f>
              <c:strCache>
                <c:ptCount val="1"/>
                <c:pt idx="0">
                  <c:v>April (BIG) (Est)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NG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'Diesel Consumed'!$D$2</c:f>
              <c:strCache>
                <c:ptCount val="1"/>
                <c:pt idx="0">
                  <c:v>Diesel Consumed</c:v>
                </c:pt>
              </c:strCache>
            </c:strRef>
          </c:cat>
          <c:val>
            <c:numRef>
              <c:f>'Diesel Consumed'!$D$5</c:f>
              <c:numCache>
                <c:formatCode>General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920B-4582-A550-EAF3D907E669}"/>
            </c:ext>
          </c:extLst>
        </c:ser>
        <c:ser>
          <c:idx val="3"/>
          <c:order val="3"/>
          <c:tx>
            <c:strRef>
              <c:f>'Diesel Consumed'!$C$6</c:f>
              <c:strCache>
                <c:ptCount val="1"/>
                <c:pt idx="0">
                  <c:v>Valley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NG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'Diesel Consumed'!$D$2</c:f>
              <c:strCache>
                <c:ptCount val="1"/>
                <c:pt idx="0">
                  <c:v>Diesel Consumed</c:v>
                </c:pt>
              </c:strCache>
            </c:strRef>
          </c:cat>
          <c:val>
            <c:numRef>
              <c:f>'Diesel Consumed'!$D$6</c:f>
              <c:numCache>
                <c:formatCode>General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920B-4582-A550-EAF3D907E669}"/>
            </c:ext>
          </c:extLst>
        </c:ser>
        <c:ser>
          <c:idx val="4"/>
          <c:order val="4"/>
          <c:tx>
            <c:strRef>
              <c:f>'Diesel Consumed'!$C$7</c:f>
              <c:strCache>
                <c:ptCount val="1"/>
                <c:pt idx="0">
                  <c:v>Xii-Lungi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NG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'Diesel Consumed'!$D$2</c:f>
              <c:strCache>
                <c:ptCount val="1"/>
                <c:pt idx="0">
                  <c:v>Diesel Consumed</c:v>
                </c:pt>
              </c:strCache>
            </c:strRef>
          </c:cat>
          <c:val>
            <c:numRef>
              <c:f>'Diesel Consumed'!$D$7</c:f>
              <c:numCache>
                <c:formatCode>General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920B-4582-A550-EAF3D907E669}"/>
            </c:ext>
          </c:extLst>
        </c:ser>
        <c:ser>
          <c:idx val="5"/>
          <c:order val="5"/>
          <c:tx>
            <c:strRef>
              <c:f>'Diesel Consumed'!$C$8</c:f>
              <c:strCache>
                <c:ptCount val="1"/>
                <c:pt idx="0">
                  <c:v>Niche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NG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'Diesel Consumed'!$D$2</c:f>
              <c:strCache>
                <c:ptCount val="1"/>
                <c:pt idx="0">
                  <c:v>Diesel Consumed</c:v>
                </c:pt>
              </c:strCache>
            </c:strRef>
          </c:cat>
          <c:val>
            <c:numRef>
              <c:f>'Diesel Consumed'!$D$8</c:f>
              <c:numCache>
                <c:formatCode>General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920B-4582-A550-EAF3D907E669}"/>
            </c:ext>
          </c:extLst>
        </c:ser>
        <c:ser>
          <c:idx val="6"/>
          <c:order val="6"/>
          <c:tx>
            <c:strRef>
              <c:f>'Diesel Consumed'!$C$9</c:f>
              <c:strCache>
                <c:ptCount val="1"/>
                <c:pt idx="0">
                  <c:v>Stazia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NG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'Diesel Consumed'!$D$2</c:f>
              <c:strCache>
                <c:ptCount val="1"/>
                <c:pt idx="0">
                  <c:v>Diesel Consumed</c:v>
                </c:pt>
              </c:strCache>
            </c:strRef>
          </c:cat>
          <c:val>
            <c:numRef>
              <c:f>'Diesel Consumed'!$D$9</c:f>
              <c:numCache>
                <c:formatCode>General</c:formatCode>
                <c:ptCount val="1"/>
                <c:pt idx="0">
                  <c:v>55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920B-4582-A550-EAF3D907E669}"/>
            </c:ext>
          </c:extLst>
        </c:ser>
        <c:ser>
          <c:idx val="7"/>
          <c:order val="7"/>
          <c:tx>
            <c:strRef>
              <c:f>'Diesel Consumed'!$C$10</c:f>
              <c:strCache>
                <c:ptCount val="1"/>
                <c:pt idx="0">
                  <c:v>Libreville</c:v>
                </c:pt>
              </c:strCache>
            </c:strRef>
          </c:tx>
          <c:spPr>
            <a:solidFill>
              <a:schemeClr val="accent2">
                <a:lumMod val="6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NG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'Diesel Consumed'!$D$2</c:f>
              <c:strCache>
                <c:ptCount val="1"/>
                <c:pt idx="0">
                  <c:v>Diesel Consumed</c:v>
                </c:pt>
              </c:strCache>
            </c:strRef>
          </c:cat>
          <c:val>
            <c:numRef>
              <c:f>'Diesel Consumed'!$D$10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920B-4582-A550-EAF3D907E669}"/>
            </c:ext>
          </c:extLst>
        </c:ser>
        <c:ser>
          <c:idx val="8"/>
          <c:order val="8"/>
          <c:tx>
            <c:strRef>
              <c:f>'Diesel Consumed'!$C$11</c:f>
              <c:strCache>
                <c:ptCount val="1"/>
                <c:pt idx="0">
                  <c:v>Guzape</c:v>
                </c:pt>
              </c:strCache>
            </c:strRef>
          </c:tx>
          <c:spPr>
            <a:solidFill>
              <a:schemeClr val="accent3">
                <a:lumMod val="6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NG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'Diesel Consumed'!$D$2</c:f>
              <c:strCache>
                <c:ptCount val="1"/>
                <c:pt idx="0">
                  <c:v>Diesel Consumed</c:v>
                </c:pt>
              </c:strCache>
            </c:strRef>
          </c:cat>
          <c:val>
            <c:numRef>
              <c:f>'Diesel Consumed'!$D$11</c:f>
              <c:numCache>
                <c:formatCode>General</c:formatCode>
                <c:ptCount val="1"/>
                <c:pt idx="0">
                  <c:v>108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920B-4582-A550-EAF3D907E669}"/>
            </c:ext>
          </c:extLst>
        </c:ser>
        <c:ser>
          <c:idx val="9"/>
          <c:order val="9"/>
          <c:tx>
            <c:strRef>
              <c:f>'Diesel Consumed'!$C$12</c:f>
              <c:strCache>
                <c:ptCount val="1"/>
                <c:pt idx="0">
                  <c:v>Tranquillo Big</c:v>
                </c:pt>
              </c:strCache>
            </c:strRef>
          </c:tx>
          <c:spPr>
            <a:solidFill>
              <a:schemeClr val="accent4">
                <a:lumMod val="6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NG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'Diesel Consumed'!$D$2</c:f>
              <c:strCache>
                <c:ptCount val="1"/>
                <c:pt idx="0">
                  <c:v>Diesel Consumed</c:v>
                </c:pt>
              </c:strCache>
            </c:strRef>
          </c:cat>
          <c:val>
            <c:numRef>
              <c:f>'Diesel Consumed'!$D$12</c:f>
              <c:numCache>
                <c:formatCode>General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920B-4582-A550-EAF3D907E669}"/>
            </c:ext>
          </c:extLst>
        </c:ser>
        <c:ser>
          <c:idx val="10"/>
          <c:order val="10"/>
          <c:tx>
            <c:strRef>
              <c:f>'Diesel Consumed'!$C$13</c:f>
              <c:strCache>
                <c:ptCount val="1"/>
                <c:pt idx="0">
                  <c:v>Tranquillo Small</c:v>
                </c:pt>
              </c:strCache>
            </c:strRef>
          </c:tx>
          <c:spPr>
            <a:solidFill>
              <a:schemeClr val="accent5">
                <a:lumMod val="6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NG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'Diesel Consumed'!$D$2</c:f>
              <c:strCache>
                <c:ptCount val="1"/>
                <c:pt idx="0">
                  <c:v>Diesel Consumed</c:v>
                </c:pt>
              </c:strCache>
            </c:strRef>
          </c:cat>
          <c:val>
            <c:numRef>
              <c:f>'Diesel Consumed'!$D$13</c:f>
              <c:numCache>
                <c:formatCode>General</c:formatCode>
                <c:ptCount val="1"/>
                <c:pt idx="0">
                  <c:v>14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920B-4582-A550-EAF3D907E669}"/>
            </c:ext>
          </c:extLst>
        </c:ser>
        <c:ser>
          <c:idx val="11"/>
          <c:order val="11"/>
          <c:tx>
            <c:strRef>
              <c:f>'Diesel Consumed'!$C$14</c:f>
              <c:strCache>
                <c:ptCount val="1"/>
                <c:pt idx="0">
                  <c:v>Apex</c:v>
                </c:pt>
              </c:strCache>
            </c:strRef>
          </c:tx>
          <c:spPr>
            <a:solidFill>
              <a:schemeClr val="accent6">
                <a:lumMod val="6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NG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'Diesel Consumed'!$D$2</c:f>
              <c:strCache>
                <c:ptCount val="1"/>
                <c:pt idx="0">
                  <c:v>Diesel Consumed</c:v>
                </c:pt>
              </c:strCache>
            </c:strRef>
          </c:cat>
          <c:val>
            <c:numRef>
              <c:f>'Diesel Consumed'!$D$14</c:f>
              <c:numCache>
                <c:formatCode>General</c:formatCode>
                <c:ptCount val="1"/>
                <c:pt idx="0">
                  <c:v>37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287-4096-8322-ED347908821C}"/>
            </c:ext>
          </c:extLst>
        </c:ser>
        <c:ser>
          <c:idx val="12"/>
          <c:order val="12"/>
          <c:tx>
            <c:strRef>
              <c:f>'Diesel Consumed'!$C$15</c:f>
              <c:strCache>
                <c:ptCount val="1"/>
              </c:strCache>
            </c:strRef>
          </c:tx>
          <c:spPr>
            <a:solidFill>
              <a:schemeClr val="accent1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NG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'Diesel Consumed'!$D$2</c:f>
              <c:strCache>
                <c:ptCount val="1"/>
                <c:pt idx="0">
                  <c:v>Diesel Consumed</c:v>
                </c:pt>
              </c:strCache>
            </c:strRef>
          </c:cat>
          <c:val>
            <c:numRef>
              <c:f>'Diesel Consumed'!$D$15</c:f>
              <c:numCache>
                <c:formatCode>General</c:formatCode>
                <c:ptCount val="1"/>
              </c:numCache>
            </c:numRef>
          </c:val>
          <c:extLst>
            <c:ext xmlns:c16="http://schemas.microsoft.com/office/drawing/2014/chart" uri="{C3380CC4-5D6E-409C-BE32-E72D297353CC}">
              <c16:uniqueId val="{00000000-A127-431B-AB9F-A2A736B1DF17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98596927"/>
        <c:axId val="198610847"/>
      </c:barChart>
      <c:catAx>
        <c:axId val="198596927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8610847"/>
        <c:crosses val="autoZero"/>
        <c:auto val="1"/>
        <c:lblAlgn val="ctr"/>
        <c:lblOffset val="100"/>
        <c:noMultiLvlLbl val="0"/>
      </c:catAx>
      <c:valAx>
        <c:axId val="19861084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859692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NG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cked"/>
        <c:varyColors val="0"/>
        <c:ser>
          <c:idx val="0"/>
          <c:order val="0"/>
          <c:tx>
            <c:strRef>
              <c:f>'Total Hours'!$D$2</c:f>
              <c:strCache>
                <c:ptCount val="1"/>
                <c:pt idx="0">
                  <c:v>Total Hours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'Total Hours'!$C$3:$C$14</c:f>
              <c:strCache>
                <c:ptCount val="11"/>
                <c:pt idx="0">
                  <c:v>Venus</c:v>
                </c:pt>
                <c:pt idx="1">
                  <c:v>April</c:v>
                </c:pt>
                <c:pt idx="2">
                  <c:v>April (BIG)</c:v>
                </c:pt>
                <c:pt idx="3">
                  <c:v>Valley</c:v>
                </c:pt>
                <c:pt idx="4">
                  <c:v>Xii-Lungi</c:v>
                </c:pt>
                <c:pt idx="5">
                  <c:v>Niche</c:v>
                </c:pt>
                <c:pt idx="6">
                  <c:v>Stazia</c:v>
                </c:pt>
                <c:pt idx="7">
                  <c:v>Libreville</c:v>
                </c:pt>
                <c:pt idx="8">
                  <c:v>Guzape</c:v>
                </c:pt>
                <c:pt idx="9">
                  <c:v>Tranquillo Big</c:v>
                </c:pt>
                <c:pt idx="10">
                  <c:v>Tranquillo Small</c:v>
                </c:pt>
              </c:strCache>
            </c:strRef>
          </c:cat>
          <c:val>
            <c:numRef>
              <c:f>'Total Hours'!$D$3:$D$14</c:f>
              <c:numCache>
                <c:formatCode>General</c:formatCode>
                <c:ptCount val="12"/>
                <c:pt idx="0">
                  <c:v>0.48</c:v>
                </c:pt>
                <c:pt idx="1">
                  <c:v>13.56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1.19</c:v>
                </c:pt>
                <c:pt idx="6">
                  <c:v>0</c:v>
                </c:pt>
                <c:pt idx="7">
                  <c:v>1</c:v>
                </c:pt>
                <c:pt idx="8">
                  <c:v>20.8</c:v>
                </c:pt>
                <c:pt idx="9">
                  <c:v>0</c:v>
                </c:pt>
                <c:pt idx="10">
                  <c:v>1.5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625-42B6-BC11-4749CE8EDC3A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198601727"/>
        <c:axId val="198603167"/>
      </c:lineChart>
      <c:catAx>
        <c:axId val="19860172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8603167"/>
        <c:crosses val="autoZero"/>
        <c:auto val="1"/>
        <c:lblAlgn val="ctr"/>
        <c:lblOffset val="100"/>
        <c:noMultiLvlLbl val="0"/>
      </c:catAx>
      <c:valAx>
        <c:axId val="19860316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860172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 orientation="portrait"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2">
                    <a:lumMod val="95000"/>
                    <a:lumOff val="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>
                <a:solidFill>
                  <a:schemeClr val="tx2">
                    <a:lumMod val="95000"/>
                    <a:lumOff val="5000"/>
                  </a:schemeClr>
                </a:solidFill>
              </a:rPr>
              <a:t>Diesel</a:t>
            </a:r>
            <a:r>
              <a:rPr lang="en-GB" baseline="0">
                <a:solidFill>
                  <a:schemeClr val="tx2">
                    <a:lumMod val="95000"/>
                    <a:lumOff val="5000"/>
                  </a:schemeClr>
                </a:solidFill>
              </a:rPr>
              <a:t> Stock Level</a:t>
            </a:r>
            <a:endParaRPr lang="en-GB">
              <a:solidFill>
                <a:schemeClr val="tx2">
                  <a:lumMod val="95000"/>
                  <a:lumOff val="5000"/>
                </a:schemeClr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2">
                  <a:lumMod val="95000"/>
                  <a:lumOff val="5000"/>
                </a:schemeClr>
              </a:solidFill>
              <a:latin typeface="+mn-lt"/>
              <a:ea typeface="+mn-ea"/>
              <a:cs typeface="+mn-cs"/>
            </a:defRPr>
          </a:pPr>
          <a:endParaRPr lang="en-GB"/>
        </a:p>
      </c:txPr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invertIfNegative val="0"/>
          <c:dPt>
            <c:idx val="0"/>
            <c:invertIfNegative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AA0F-4D28-8589-FA807C44739F}"/>
              </c:ext>
            </c:extLst>
          </c:dPt>
          <c:dPt>
            <c:idx val="1"/>
            <c:invertIfNegative val="0"/>
            <c:bubble3D val="0"/>
            <c:spPr>
              <a:solidFill>
                <a:schemeClr val="accent2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AA0F-4D28-8589-FA807C44739F}"/>
              </c:ext>
            </c:extLst>
          </c:dPt>
          <c:dPt>
            <c:idx val="2"/>
            <c:invertIfNegative val="0"/>
            <c:bubble3D val="0"/>
            <c:spPr>
              <a:solidFill>
                <a:schemeClr val="accent3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AA0F-4D28-8589-FA807C44739F}"/>
              </c:ext>
            </c:extLst>
          </c:dPt>
          <c:dPt>
            <c:idx val="3"/>
            <c:invertIfNegative val="0"/>
            <c:bubble3D val="0"/>
            <c:spPr>
              <a:solidFill>
                <a:schemeClr val="accent4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7-AA0F-4D28-8589-FA807C44739F}"/>
              </c:ext>
            </c:extLst>
          </c:dPt>
          <c:dPt>
            <c:idx val="4"/>
            <c:invertIfNegative val="0"/>
            <c:bubble3D val="0"/>
            <c:spPr>
              <a:solidFill>
                <a:schemeClr val="accent5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9-AA0F-4D28-8589-FA807C44739F}"/>
              </c:ext>
            </c:extLst>
          </c:dPt>
          <c:dPt>
            <c:idx val="5"/>
            <c:invertIfNegative val="0"/>
            <c:bubble3D val="0"/>
            <c:spPr>
              <a:solidFill>
                <a:schemeClr val="accent6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B-AA0F-4D28-8589-FA807C44739F}"/>
              </c:ext>
            </c:extLst>
          </c:dPt>
          <c:dPt>
            <c:idx val="6"/>
            <c:invertIfNegative val="0"/>
            <c:bubble3D val="0"/>
            <c:spPr>
              <a:solidFill>
                <a:schemeClr val="accent1">
                  <a:lumMod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D-AA0F-4D28-8589-FA807C44739F}"/>
              </c:ext>
            </c:extLst>
          </c:dPt>
          <c:dPt>
            <c:idx val="7"/>
            <c:invertIfNegative val="0"/>
            <c:bubble3D val="0"/>
            <c:spPr>
              <a:solidFill>
                <a:schemeClr val="accent2">
                  <a:lumMod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F-AA0F-4D28-8589-FA807C44739F}"/>
              </c:ext>
            </c:extLst>
          </c:dPt>
          <c:dPt>
            <c:idx val="8"/>
            <c:invertIfNegative val="0"/>
            <c:bubble3D val="0"/>
            <c:spPr>
              <a:solidFill>
                <a:schemeClr val="accent3">
                  <a:lumMod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1-AA0F-4D28-8589-FA807C44739F}"/>
              </c:ext>
            </c:extLst>
          </c:dPt>
          <c:dPt>
            <c:idx val="9"/>
            <c:invertIfNegative val="0"/>
            <c:bubble3D val="0"/>
            <c:spPr>
              <a:solidFill>
                <a:schemeClr val="accent4">
                  <a:lumMod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3-AA0F-4D28-8589-FA807C44739F}"/>
              </c:ext>
            </c:extLst>
          </c:dPt>
          <c:dPt>
            <c:idx val="10"/>
            <c:invertIfNegative val="0"/>
            <c:bubble3D val="0"/>
            <c:spPr>
              <a:solidFill>
                <a:schemeClr val="accent5">
                  <a:lumMod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5-F02D-4637-B5B5-255AB666F970}"/>
              </c:ext>
            </c:extLst>
          </c:dPt>
          <c:dPt>
            <c:idx val="11"/>
            <c:invertIfNegative val="0"/>
            <c:bubble3D val="0"/>
            <c:spPr>
              <a:solidFill>
                <a:schemeClr val="accent6">
                  <a:lumMod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7-712B-4283-BFF3-F00308EFBF57}"/>
              </c:ext>
            </c:extLst>
          </c:dPt>
          <c:dPt>
            <c:idx val="12"/>
            <c:invertIfNegative val="0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>
                <a:noFill/>
              </a:ln>
              <a:effectLst/>
            </c:spPr>
          </c:dPt>
          <c:dPt>
            <c:idx val="13"/>
            <c:invertIfNegative val="0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>
                <a:noFill/>
              </a:ln>
              <a:effectLst/>
            </c:spPr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NG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'Diesel Stock Level'!$B$4:$B$18</c:f>
              <c:strCache>
                <c:ptCount val="14"/>
                <c:pt idx="0">
                  <c:v>Venus Big</c:v>
                </c:pt>
                <c:pt idx="1">
                  <c:v>April</c:v>
                </c:pt>
                <c:pt idx="2">
                  <c:v>Summer</c:v>
                </c:pt>
                <c:pt idx="3">
                  <c:v>April</c:v>
                </c:pt>
                <c:pt idx="4">
                  <c:v>Valley</c:v>
                </c:pt>
                <c:pt idx="5">
                  <c:v>Xii-Lungi</c:v>
                </c:pt>
                <c:pt idx="6">
                  <c:v>Niche</c:v>
                </c:pt>
                <c:pt idx="7">
                  <c:v>Stazia</c:v>
                </c:pt>
                <c:pt idx="8">
                  <c:v>Liberville small</c:v>
                </c:pt>
                <c:pt idx="9">
                  <c:v>Libreville Big</c:v>
                </c:pt>
                <c:pt idx="10">
                  <c:v>Guzape</c:v>
                </c:pt>
                <c:pt idx="11">
                  <c:v>Tranquillo big</c:v>
                </c:pt>
                <c:pt idx="12">
                  <c:v>Tranquillo Small</c:v>
                </c:pt>
                <c:pt idx="13">
                  <c:v>Apex</c:v>
                </c:pt>
              </c:strCache>
            </c:strRef>
          </c:cat>
          <c:val>
            <c:numRef>
              <c:f>'Diesel Stock Level'!$C$3:$C$16</c:f>
              <c:numCache>
                <c:formatCode>General</c:formatCode>
                <c:ptCount val="14"/>
                <c:pt idx="0">
                  <c:v>237.48</c:v>
                </c:pt>
                <c:pt idx="1">
                  <c:v>158.25</c:v>
                </c:pt>
                <c:pt idx="2">
                  <c:v>135</c:v>
                </c:pt>
                <c:pt idx="3">
                  <c:v>150</c:v>
                </c:pt>
                <c:pt idx="4">
                  <c:v>205</c:v>
                </c:pt>
                <c:pt idx="5">
                  <c:v>0</c:v>
                </c:pt>
                <c:pt idx="6">
                  <c:v>103.5</c:v>
                </c:pt>
                <c:pt idx="7">
                  <c:v>15</c:v>
                </c:pt>
                <c:pt idx="8">
                  <c:v>360</c:v>
                </c:pt>
                <c:pt idx="9">
                  <c:v>54</c:v>
                </c:pt>
                <c:pt idx="10">
                  <c:v>97.5</c:v>
                </c:pt>
                <c:pt idx="11">
                  <c:v>95</c:v>
                </c:pt>
                <c:pt idx="12">
                  <c:v>203</c:v>
                </c:pt>
                <c:pt idx="13">
                  <c:v>405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4-AA0F-4D28-8589-FA807C44739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754034847"/>
        <c:axId val="1754032927"/>
      </c:barChart>
      <c:catAx>
        <c:axId val="175403484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>
                    <a:lumMod val="95000"/>
                    <a:lumOff val="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NG"/>
          </a:p>
        </c:txPr>
        <c:crossAx val="1754032927"/>
        <c:crosses val="autoZero"/>
        <c:auto val="1"/>
        <c:lblAlgn val="ctr"/>
        <c:lblOffset val="100"/>
        <c:noMultiLvlLbl val="0"/>
      </c:catAx>
      <c:valAx>
        <c:axId val="175403292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95000"/>
                    <a:lumOff val="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NG"/>
          </a:p>
        </c:txPr>
        <c:crossAx val="175403484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NG"/>
    </a:p>
  </c:txPr>
  <c:printSettings>
    <c:headerFooter/>
    <c:pageMargins b="0.75" l="0.7" r="0.7" t="0.75" header="0.3" footer="0.3"/>
    <c:pageSetup orientation="portrait"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Diesel Reserve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'Diesel Reserve'!$C$4</c:f>
              <c:strCache>
                <c:ptCount val="1"/>
                <c:pt idx="0">
                  <c:v>April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'Diesel Reserve'!$D$3</c:f>
              <c:strCache>
                <c:ptCount val="1"/>
                <c:pt idx="0">
                  <c:v>Diesel Reserve Level</c:v>
                </c:pt>
              </c:strCache>
            </c:strRef>
          </c:cat>
          <c:val>
            <c:numRef>
              <c:f>'Diesel Reserve'!$D$4</c:f>
              <c:numCache>
                <c:formatCode>General</c:formatCode>
                <c:ptCount val="1"/>
                <c:pt idx="0">
                  <c:v>180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033-4B39-8A6B-C971B3515CDF}"/>
            </c:ext>
          </c:extLst>
        </c:ser>
        <c:ser>
          <c:idx val="1"/>
          <c:order val="1"/>
          <c:tx>
            <c:strRef>
              <c:f>'Diesel Reserve'!$C$5</c:f>
              <c:strCache>
                <c:ptCount val="1"/>
                <c:pt idx="0">
                  <c:v>Xii-Lungi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'Diesel Reserve'!$D$3</c:f>
              <c:strCache>
                <c:ptCount val="1"/>
                <c:pt idx="0">
                  <c:v>Diesel Reserve Level</c:v>
                </c:pt>
              </c:strCache>
            </c:strRef>
          </c:cat>
          <c:val>
            <c:numRef>
              <c:f>'Diesel Reserve'!$D$5</c:f>
              <c:numCache>
                <c:formatCode>General</c:formatCode>
                <c:ptCount val="1"/>
                <c:pt idx="0">
                  <c:v>30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033-4B39-8A6B-C971B3515CDF}"/>
            </c:ext>
          </c:extLst>
        </c:ser>
        <c:ser>
          <c:idx val="2"/>
          <c:order val="2"/>
          <c:tx>
            <c:strRef>
              <c:f>'Diesel Reserve'!$C$6</c:f>
              <c:strCache>
                <c:ptCount val="1"/>
                <c:pt idx="0">
                  <c:v>Niche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'Diesel Reserve'!$D$3</c:f>
              <c:strCache>
                <c:ptCount val="1"/>
                <c:pt idx="0">
                  <c:v>Diesel Reserve Level</c:v>
                </c:pt>
              </c:strCache>
            </c:strRef>
          </c:cat>
          <c:val>
            <c:numRef>
              <c:f>'Diesel Reserve'!$D$6</c:f>
              <c:numCache>
                <c:formatCode>General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A033-4B39-8A6B-C971B3515CDF}"/>
            </c:ext>
          </c:extLst>
        </c:ser>
        <c:ser>
          <c:idx val="3"/>
          <c:order val="3"/>
          <c:tx>
            <c:strRef>
              <c:f>'Diesel Reserve'!$C$7</c:f>
              <c:strCache>
                <c:ptCount val="1"/>
                <c:pt idx="0">
                  <c:v>Libreville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'Diesel Reserve'!$D$3</c:f>
              <c:strCache>
                <c:ptCount val="1"/>
                <c:pt idx="0">
                  <c:v>Diesel Reserve Level</c:v>
                </c:pt>
              </c:strCache>
            </c:strRef>
          </c:cat>
          <c:val>
            <c:numRef>
              <c:f>'Diesel Reserve'!$D$7</c:f>
              <c:numCache>
                <c:formatCode>General</c:formatCode>
                <c:ptCount val="1"/>
                <c:pt idx="0">
                  <c:v>150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A033-4B39-8A6B-C971B3515CDF}"/>
            </c:ext>
          </c:extLst>
        </c:ser>
        <c:ser>
          <c:idx val="4"/>
          <c:order val="4"/>
          <c:tx>
            <c:strRef>
              <c:f>'Diesel Reserve'!$C$8</c:f>
              <c:strCache>
                <c:ptCount val="1"/>
                <c:pt idx="0">
                  <c:v>Tranquillo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'Diesel Reserve'!$D$3</c:f>
              <c:strCache>
                <c:ptCount val="1"/>
                <c:pt idx="0">
                  <c:v>Diesel Reserve Level</c:v>
                </c:pt>
              </c:strCache>
            </c:strRef>
          </c:cat>
          <c:val>
            <c:numRef>
              <c:f>'Diesel Reserve'!$D$8</c:f>
              <c:numCache>
                <c:formatCode>General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A033-4B39-8A6B-C971B3515CDF}"/>
            </c:ext>
          </c:extLst>
        </c:ser>
        <c:ser>
          <c:idx val="5"/>
          <c:order val="5"/>
          <c:tx>
            <c:strRef>
              <c:f>'Diesel Reserve'!$C$9</c:f>
              <c:strCache>
                <c:ptCount val="1"/>
                <c:pt idx="0">
                  <c:v>Stazia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'Diesel Reserve'!$D$3</c:f>
              <c:strCache>
                <c:ptCount val="1"/>
                <c:pt idx="0">
                  <c:v>Diesel Reserve Level</c:v>
                </c:pt>
              </c:strCache>
            </c:strRef>
          </c:cat>
          <c:val>
            <c:numRef>
              <c:f>'Diesel Reserve'!$D$9</c:f>
              <c:numCache>
                <c:formatCode>General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A033-4B39-8A6B-C971B3515CDF}"/>
            </c:ext>
          </c:extLst>
        </c:ser>
        <c:ser>
          <c:idx val="6"/>
          <c:order val="6"/>
          <c:tx>
            <c:strRef>
              <c:f>'Diesel Reserve'!$C$10</c:f>
              <c:strCache>
                <c:ptCount val="1"/>
                <c:pt idx="0">
                  <c:v>Venus</c:v>
                </c:pt>
              </c:strCache>
            </c:strRef>
          </c:tx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'Diesel Reserve'!$D$3</c:f>
              <c:strCache>
                <c:ptCount val="1"/>
                <c:pt idx="0">
                  <c:v>Diesel Reserve Level</c:v>
                </c:pt>
              </c:strCache>
            </c:strRef>
          </c:cat>
          <c:val>
            <c:numRef>
              <c:f>'Diesel Reserve'!$D$10</c:f>
              <c:numCache>
                <c:formatCode>General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A033-4B39-8A6B-C971B3515CDF}"/>
            </c:ext>
          </c:extLst>
        </c:ser>
        <c:ser>
          <c:idx val="7"/>
          <c:order val="7"/>
          <c:tx>
            <c:strRef>
              <c:f>'Diesel Reserve'!$C$11</c:f>
              <c:strCache>
                <c:ptCount val="1"/>
                <c:pt idx="0">
                  <c:v>Guzape</c:v>
                </c:pt>
              </c:strCache>
            </c:strRef>
          </c:tx>
          <c:spPr>
            <a:solidFill>
              <a:schemeClr val="accent2">
                <a:lumMod val="6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'Diesel Reserve'!$D$3</c:f>
              <c:strCache>
                <c:ptCount val="1"/>
                <c:pt idx="0">
                  <c:v>Diesel Reserve Level</c:v>
                </c:pt>
              </c:strCache>
            </c:strRef>
          </c:cat>
          <c:val>
            <c:numRef>
              <c:f>'Diesel Reserve'!$D$11</c:f>
              <c:numCache>
                <c:formatCode>General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A033-4B39-8A6B-C971B3515CDF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776417024"/>
        <c:axId val="776408384"/>
      </c:barChart>
      <c:catAx>
        <c:axId val="77641702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76408384"/>
        <c:crosses val="autoZero"/>
        <c:auto val="1"/>
        <c:lblAlgn val="ctr"/>
        <c:lblOffset val="100"/>
        <c:noMultiLvlLbl val="0"/>
      </c:catAx>
      <c:valAx>
        <c:axId val="7764083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7641702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cked"/>
        <c:varyColors val="0"/>
        <c:ser>
          <c:idx val="0"/>
          <c:order val="0"/>
          <c:tx>
            <c:strRef>
              <c:f>'Total Hours'!$D$2</c:f>
              <c:strCache>
                <c:ptCount val="1"/>
                <c:pt idx="0">
                  <c:v>Total Hours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'Total Hours'!$C$3:$C$14</c:f>
              <c:strCache>
                <c:ptCount val="11"/>
                <c:pt idx="0">
                  <c:v>Venus</c:v>
                </c:pt>
                <c:pt idx="1">
                  <c:v>April</c:v>
                </c:pt>
                <c:pt idx="2">
                  <c:v>April (BIG)</c:v>
                </c:pt>
                <c:pt idx="3">
                  <c:v>Valley</c:v>
                </c:pt>
                <c:pt idx="4">
                  <c:v>Xii-Lungi</c:v>
                </c:pt>
                <c:pt idx="5">
                  <c:v>Niche</c:v>
                </c:pt>
                <c:pt idx="6">
                  <c:v>Stazia</c:v>
                </c:pt>
                <c:pt idx="7">
                  <c:v>Libreville</c:v>
                </c:pt>
                <c:pt idx="8">
                  <c:v>Guzape</c:v>
                </c:pt>
                <c:pt idx="9">
                  <c:v>Tranquillo Big</c:v>
                </c:pt>
                <c:pt idx="10">
                  <c:v>Tranquillo Small</c:v>
                </c:pt>
              </c:strCache>
            </c:strRef>
          </c:cat>
          <c:val>
            <c:numRef>
              <c:f>'Total Hours'!$D$3:$D$14</c:f>
              <c:numCache>
                <c:formatCode>General</c:formatCode>
                <c:ptCount val="12"/>
                <c:pt idx="0">
                  <c:v>0.48</c:v>
                </c:pt>
                <c:pt idx="1">
                  <c:v>13.56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1.19</c:v>
                </c:pt>
                <c:pt idx="6">
                  <c:v>0</c:v>
                </c:pt>
                <c:pt idx="7">
                  <c:v>1</c:v>
                </c:pt>
                <c:pt idx="8">
                  <c:v>20.8</c:v>
                </c:pt>
                <c:pt idx="9">
                  <c:v>0</c:v>
                </c:pt>
                <c:pt idx="10">
                  <c:v>1.5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EF9-4079-B342-5BAED35B5933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198601727"/>
        <c:axId val="198603167"/>
      </c:lineChart>
      <c:catAx>
        <c:axId val="19860172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8603167"/>
        <c:crosses val="autoZero"/>
        <c:auto val="1"/>
        <c:lblAlgn val="ctr"/>
        <c:lblOffset val="100"/>
        <c:noMultiLvlLbl val="0"/>
      </c:catAx>
      <c:valAx>
        <c:axId val="19860316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860172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Diesel Consumed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'Diesel Consumed'!$C$3</c:f>
              <c:strCache>
                <c:ptCount val="1"/>
                <c:pt idx="0">
                  <c:v>Venus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'Diesel Consumed'!$D$2</c:f>
              <c:strCache>
                <c:ptCount val="1"/>
                <c:pt idx="0">
                  <c:v>Diesel Consumed</c:v>
                </c:pt>
              </c:strCache>
            </c:strRef>
          </c:cat>
          <c:val>
            <c:numRef>
              <c:f>'Diesel Consumed'!$D$3</c:f>
              <c:numCache>
                <c:formatCode>General</c:formatCode>
                <c:ptCount val="1"/>
                <c:pt idx="0">
                  <c:v>6.12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B09-40A9-99DA-A06B1E58BAB4}"/>
            </c:ext>
          </c:extLst>
        </c:ser>
        <c:ser>
          <c:idx val="1"/>
          <c:order val="1"/>
          <c:tx>
            <c:strRef>
              <c:f>'Diesel Consumed'!$C$4</c:f>
              <c:strCache>
                <c:ptCount val="1"/>
                <c:pt idx="0">
                  <c:v>April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'Diesel Consumed'!$D$2</c:f>
              <c:strCache>
                <c:ptCount val="1"/>
                <c:pt idx="0">
                  <c:v>Diesel Consumed</c:v>
                </c:pt>
              </c:strCache>
            </c:strRef>
          </c:cat>
          <c:val>
            <c:numRef>
              <c:f>'Diesel Consumed'!$D$4</c:f>
              <c:numCache>
                <c:formatCode>General</c:formatCode>
                <c:ptCount val="1"/>
                <c:pt idx="0">
                  <c:v>37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B09-40A9-99DA-A06B1E58BAB4}"/>
            </c:ext>
          </c:extLst>
        </c:ser>
        <c:ser>
          <c:idx val="2"/>
          <c:order val="2"/>
          <c:tx>
            <c:strRef>
              <c:f>'Diesel Consumed'!$C$5</c:f>
              <c:strCache>
                <c:ptCount val="1"/>
                <c:pt idx="0">
                  <c:v>April (BIG) (Est)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'Diesel Consumed'!$D$2</c:f>
              <c:strCache>
                <c:ptCount val="1"/>
                <c:pt idx="0">
                  <c:v>Diesel Consumed</c:v>
                </c:pt>
              </c:strCache>
            </c:strRef>
          </c:cat>
          <c:val>
            <c:numRef>
              <c:f>'Diesel Consumed'!$D$5</c:f>
              <c:numCache>
                <c:formatCode>General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2B09-40A9-99DA-A06B1E58BAB4}"/>
            </c:ext>
          </c:extLst>
        </c:ser>
        <c:ser>
          <c:idx val="3"/>
          <c:order val="3"/>
          <c:tx>
            <c:strRef>
              <c:f>'Diesel Consumed'!$C$6</c:f>
              <c:strCache>
                <c:ptCount val="1"/>
                <c:pt idx="0">
                  <c:v>Valley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'Diesel Consumed'!$D$2</c:f>
              <c:strCache>
                <c:ptCount val="1"/>
                <c:pt idx="0">
                  <c:v>Diesel Consumed</c:v>
                </c:pt>
              </c:strCache>
            </c:strRef>
          </c:cat>
          <c:val>
            <c:numRef>
              <c:f>'Diesel Consumed'!$D$6</c:f>
              <c:numCache>
                <c:formatCode>General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2B09-40A9-99DA-A06B1E58BAB4}"/>
            </c:ext>
          </c:extLst>
        </c:ser>
        <c:ser>
          <c:idx val="4"/>
          <c:order val="4"/>
          <c:tx>
            <c:strRef>
              <c:f>'Diesel Consumed'!$C$7</c:f>
              <c:strCache>
                <c:ptCount val="1"/>
                <c:pt idx="0">
                  <c:v>Xii-Lungi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'Diesel Consumed'!$D$2</c:f>
              <c:strCache>
                <c:ptCount val="1"/>
                <c:pt idx="0">
                  <c:v>Diesel Consumed</c:v>
                </c:pt>
              </c:strCache>
            </c:strRef>
          </c:cat>
          <c:val>
            <c:numRef>
              <c:f>'Diesel Consumed'!$D$7</c:f>
              <c:numCache>
                <c:formatCode>General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2B09-40A9-99DA-A06B1E58BAB4}"/>
            </c:ext>
          </c:extLst>
        </c:ser>
        <c:ser>
          <c:idx val="5"/>
          <c:order val="5"/>
          <c:tx>
            <c:strRef>
              <c:f>'Diesel Consumed'!$C$8</c:f>
              <c:strCache>
                <c:ptCount val="1"/>
                <c:pt idx="0">
                  <c:v>Niche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'Diesel Consumed'!$D$2</c:f>
              <c:strCache>
                <c:ptCount val="1"/>
                <c:pt idx="0">
                  <c:v>Diesel Consumed</c:v>
                </c:pt>
              </c:strCache>
            </c:strRef>
          </c:cat>
          <c:val>
            <c:numRef>
              <c:f>'Diesel Consumed'!$D$8</c:f>
              <c:numCache>
                <c:formatCode>General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2B09-40A9-99DA-A06B1E58BAB4}"/>
            </c:ext>
          </c:extLst>
        </c:ser>
        <c:ser>
          <c:idx val="6"/>
          <c:order val="6"/>
          <c:tx>
            <c:strRef>
              <c:f>'Diesel Consumed'!$C$9</c:f>
              <c:strCache>
                <c:ptCount val="1"/>
                <c:pt idx="0">
                  <c:v>Stazia</c:v>
                </c:pt>
              </c:strCache>
            </c:strRef>
          </c:tx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'Diesel Consumed'!$D$2</c:f>
              <c:strCache>
                <c:ptCount val="1"/>
                <c:pt idx="0">
                  <c:v>Diesel Consumed</c:v>
                </c:pt>
              </c:strCache>
            </c:strRef>
          </c:cat>
          <c:val>
            <c:numRef>
              <c:f>'Diesel Consumed'!$D$9</c:f>
              <c:numCache>
                <c:formatCode>General</c:formatCode>
                <c:ptCount val="1"/>
                <c:pt idx="0">
                  <c:v>55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2B09-40A9-99DA-A06B1E58BAB4}"/>
            </c:ext>
          </c:extLst>
        </c:ser>
        <c:ser>
          <c:idx val="7"/>
          <c:order val="7"/>
          <c:tx>
            <c:strRef>
              <c:f>'Diesel Consumed'!$C$10</c:f>
              <c:strCache>
                <c:ptCount val="1"/>
                <c:pt idx="0">
                  <c:v>Libreville</c:v>
                </c:pt>
              </c:strCache>
            </c:strRef>
          </c:tx>
          <c:spPr>
            <a:solidFill>
              <a:schemeClr val="accent2">
                <a:lumMod val="6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'Diesel Consumed'!$D$2</c:f>
              <c:strCache>
                <c:ptCount val="1"/>
                <c:pt idx="0">
                  <c:v>Diesel Consumed</c:v>
                </c:pt>
              </c:strCache>
            </c:strRef>
          </c:cat>
          <c:val>
            <c:numRef>
              <c:f>'Diesel Consumed'!$D$10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2B09-40A9-99DA-A06B1E58BAB4}"/>
            </c:ext>
          </c:extLst>
        </c:ser>
        <c:ser>
          <c:idx val="8"/>
          <c:order val="8"/>
          <c:tx>
            <c:strRef>
              <c:f>'Diesel Consumed'!$C$11</c:f>
              <c:strCache>
                <c:ptCount val="1"/>
                <c:pt idx="0">
                  <c:v>Guzape</c:v>
                </c:pt>
              </c:strCache>
            </c:strRef>
          </c:tx>
          <c:spPr>
            <a:solidFill>
              <a:schemeClr val="accent3">
                <a:lumMod val="6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'Diesel Consumed'!$D$2</c:f>
              <c:strCache>
                <c:ptCount val="1"/>
                <c:pt idx="0">
                  <c:v>Diesel Consumed</c:v>
                </c:pt>
              </c:strCache>
            </c:strRef>
          </c:cat>
          <c:val>
            <c:numRef>
              <c:f>'Diesel Consumed'!$D$11</c:f>
              <c:numCache>
                <c:formatCode>General</c:formatCode>
                <c:ptCount val="1"/>
                <c:pt idx="0">
                  <c:v>108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2B09-40A9-99DA-A06B1E58BAB4}"/>
            </c:ext>
          </c:extLst>
        </c:ser>
        <c:ser>
          <c:idx val="9"/>
          <c:order val="9"/>
          <c:tx>
            <c:strRef>
              <c:f>'Diesel Consumed'!$C$12</c:f>
              <c:strCache>
                <c:ptCount val="1"/>
                <c:pt idx="0">
                  <c:v>Tranquillo Big</c:v>
                </c:pt>
              </c:strCache>
            </c:strRef>
          </c:tx>
          <c:spPr>
            <a:solidFill>
              <a:schemeClr val="accent4">
                <a:lumMod val="6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'Diesel Consumed'!$D$2</c:f>
              <c:strCache>
                <c:ptCount val="1"/>
                <c:pt idx="0">
                  <c:v>Diesel Consumed</c:v>
                </c:pt>
              </c:strCache>
            </c:strRef>
          </c:cat>
          <c:val>
            <c:numRef>
              <c:f>'Diesel Consumed'!$D$12</c:f>
              <c:numCache>
                <c:formatCode>General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2B09-40A9-99DA-A06B1E58BAB4}"/>
            </c:ext>
          </c:extLst>
        </c:ser>
        <c:ser>
          <c:idx val="10"/>
          <c:order val="10"/>
          <c:tx>
            <c:strRef>
              <c:f>'Diesel Consumed'!$C$14</c:f>
              <c:strCache>
                <c:ptCount val="1"/>
                <c:pt idx="0">
                  <c:v>Apex</c:v>
                </c:pt>
              </c:strCache>
            </c:strRef>
          </c:tx>
          <c:spPr>
            <a:solidFill>
              <a:schemeClr val="accent5">
                <a:lumMod val="6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NG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'Diesel Consumed'!$D$2</c:f>
              <c:strCache>
                <c:ptCount val="1"/>
                <c:pt idx="0">
                  <c:v>Diesel Consumed</c:v>
                </c:pt>
              </c:strCache>
            </c:strRef>
          </c:cat>
          <c:val>
            <c:numRef>
              <c:f>'Diesel Consumed'!$D$14</c:f>
              <c:numCache>
                <c:formatCode>General</c:formatCode>
                <c:ptCount val="1"/>
                <c:pt idx="0">
                  <c:v>37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2B09-40A9-99DA-A06B1E58BAB4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98596927"/>
        <c:axId val="198610847"/>
      </c:barChart>
      <c:catAx>
        <c:axId val="19859692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8610847"/>
        <c:crosses val="autoZero"/>
        <c:auto val="1"/>
        <c:lblAlgn val="ctr"/>
        <c:lblOffset val="100"/>
        <c:noMultiLvlLbl val="0"/>
      </c:catAx>
      <c:valAx>
        <c:axId val="19861084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859692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_xlchart.v1.0</cx:f>
      </cx:strDim>
      <cx:numDim type="size">
        <cx:f>_xlchart.v1.2</cx:f>
      </cx:numDim>
    </cx:data>
  </cx:chartData>
  <cx:chart>
    <cx:title pos="t" align="ctr" overlay="0">
      <cx:tx>
        <cx:txData>
          <cx:v>Diesel Stock Level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en-GB" sz="1400" b="0" i="0" u="none" strike="noStrike" baseline="0">
              <a:solidFill>
                <a:srgbClr val="000000">
                  <a:lumMod val="65000"/>
                  <a:lumOff val="35000"/>
                </a:srgbClr>
              </a:solidFill>
              <a:latin typeface="Calibri"/>
              <a:ea typeface="Calibri"/>
              <a:cs typeface="Calibri"/>
            </a:rPr>
            <a:t>Diesel Stock Level</a:t>
          </a:r>
        </a:p>
      </cx:txPr>
    </cx:title>
    <cx:plotArea>
      <cx:plotAreaRegion>
        <cx:series layoutId="treemap" uniqueId="{0579744B-86EC-4F5B-805E-687D3EF01A93}">
          <cx:tx>
            <cx:txData>
              <cx:f>_xlchart.v1.1</cx:f>
              <cx:v>Diesel Stock Level</cx:v>
            </cx:txData>
          </cx:tx>
          <cx:dataLabels pos="inEnd">
            <cx:txPr>
              <a:bodyPr vertOverflow="overflow" horzOverflow="overflow" wrap="square" lIns="0" tIns="0" rIns="0" bIns="0"/>
              <a:lstStyle/>
              <a:p>
                <a:pPr algn="ctr" rtl="0">
                  <a:defRPr sz="1200" b="0" i="0">
                    <a:solidFill>
                      <a:srgbClr val="000000"/>
                    </a:solidFill>
                    <a:latin typeface="Calibri" panose="020F0502020204030204" pitchFamily="34" charset="0"/>
                    <a:ea typeface="Calibri" panose="020F0502020204030204" pitchFamily="34" charset="0"/>
                    <a:cs typeface="Calibri" panose="020F0502020204030204" pitchFamily="34" charset="0"/>
                  </a:defRPr>
                </a:pPr>
                <a:endParaRPr/>
              </a:p>
            </cx:txPr>
            <cx:visibility seriesName="0" categoryName="1" value="1"/>
            <cx:separator>, </cx:separator>
          </cx:dataLabels>
          <cx:dataId val="0"/>
          <cx:layoutPr>
            <cx:parentLabelLayout val="overlapping"/>
          </cx:layoutPr>
        </cx:series>
      </cx:plotAreaRegion>
    </cx:plotArea>
    <cx:legend pos="t" align="ctr" overlay="0">
      <cx:txPr>
        <a:bodyPr vertOverflow="overflow" horzOverflow="overflow" wrap="square" lIns="0" tIns="0" rIns="0" bIns="0"/>
        <a:lstStyle/>
        <a:p>
          <a:pPr algn="ctr" rtl="0">
            <a:defRPr sz="1200" b="0" i="0">
              <a:solidFill>
                <a:srgbClr val="000000"/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defRPr>
          </a:pPr>
          <a:endParaRPr/>
        </a:p>
      </cx:txPr>
    </cx:legend>
  </cx:chart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410">
  <cs:axisTitle>
    <cs:lnRef idx="0"/>
    <cs:fillRef idx="0"/>
    <cs:effectRef idx="0"/>
    <cs:fontRef idx="minor">
      <a:schemeClr val="tx1">
        <a:lumMod val="65000"/>
        <a:lumOff val="35000"/>
      </a:schemeClr>
    </cs:fontRef>
    <cs:spPr>
      <a:solidFill>
        <a:schemeClr val="bg1">
          <a:lumMod val="65000"/>
        </a:schemeClr>
      </a:solidFill>
      <a:ln w="19050">
        <a:solidFill>
          <a:schemeClr val="bg1"/>
        </a:solidFill>
      </a:ln>
    </cs:spPr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lt1"/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19050">
        <a:solidFill>
          <a:schemeClr val="lt1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10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5.xml.rels><?xml version="1.0" encoding="UTF-8" standalone="yes"?>
<Relationships xmlns="http://schemas.openxmlformats.org/package/2006/relationships"><Relationship Id="rId3" Type="http://schemas.openxmlformats.org/officeDocument/2006/relationships/chart" Target="../charts/chart6.xml"/><Relationship Id="rId2" Type="http://schemas.openxmlformats.org/officeDocument/2006/relationships/chart" Target="../charts/chart5.xml"/><Relationship Id="rId1" Type="http://schemas.openxmlformats.org/officeDocument/2006/relationships/image" Target="../media/image1.png"/><Relationship Id="rId5" Type="http://schemas.openxmlformats.org/officeDocument/2006/relationships/chart" Target="../charts/chart8.xml"/><Relationship Id="rId4" Type="http://schemas.openxmlformats.org/officeDocument/2006/relationships/chart" Target="../charts/chart7.xml"/></Relationships>
</file>

<file path=xl/drawings/_rels/drawing6.xml.rels><?xml version="1.0" encoding="UTF-8" standalone="yes"?>
<Relationships xmlns="http://schemas.openxmlformats.org/package/2006/relationships"><Relationship Id="rId3" Type="http://schemas.openxmlformats.org/officeDocument/2006/relationships/chart" Target="../charts/chart9.xml"/><Relationship Id="rId2" Type="http://schemas.microsoft.com/office/2014/relationships/chartEx" Target="../charts/chartEx1.xml"/><Relationship Id="rId1" Type="http://schemas.openxmlformats.org/officeDocument/2006/relationships/image" Target="../media/image1.png"/><Relationship Id="rId5" Type="http://schemas.openxmlformats.org/officeDocument/2006/relationships/chart" Target="../charts/chart11.xml"/><Relationship Id="rId4" Type="http://schemas.openxmlformats.org/officeDocument/2006/relationships/chart" Target="../charts/chart10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200338</xdr:colOff>
      <xdr:row>19</xdr:row>
      <xdr:rowOff>139879</xdr:rowOff>
    </xdr:from>
    <xdr:to>
      <xdr:col>15</xdr:col>
      <xdr:colOff>497267</xdr:colOff>
      <xdr:row>40</xdr:row>
      <xdr:rowOff>171360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F7D7B20-B6DB-0327-2B91-81CD8F15E44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206375</xdr:colOff>
      <xdr:row>3</xdr:row>
      <xdr:rowOff>3175</xdr:rowOff>
    </xdr:from>
    <xdr:to>
      <xdr:col>12</xdr:col>
      <xdr:colOff>511175</xdr:colOff>
      <xdr:row>20</xdr:row>
      <xdr:rowOff>79375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BF5B4E94-8B4D-E771-499F-9A3A3D45F58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244474</xdr:colOff>
      <xdr:row>2</xdr:row>
      <xdr:rowOff>3175</xdr:rowOff>
    </xdr:from>
    <xdr:to>
      <xdr:col>13</xdr:col>
      <xdr:colOff>203199</xdr:colOff>
      <xdr:row>19</xdr:row>
      <xdr:rowOff>79375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3CE0BBB-FE6B-B633-6E44-17F8B387C34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428625</xdr:colOff>
      <xdr:row>2</xdr:row>
      <xdr:rowOff>3175</xdr:rowOff>
    </xdr:from>
    <xdr:to>
      <xdr:col>12</xdr:col>
      <xdr:colOff>123825</xdr:colOff>
      <xdr:row>17</xdr:row>
      <xdr:rowOff>79375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87E80EA-3044-0B34-4872-CB214C82CDF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333375</xdr:colOff>
      <xdr:row>1</xdr:row>
      <xdr:rowOff>122237</xdr:rowOff>
    </xdr:from>
    <xdr:to>
      <xdr:col>6</xdr:col>
      <xdr:colOff>937171</xdr:colOff>
      <xdr:row>3</xdr:row>
      <xdr:rowOff>142875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E362D32A-973C-6A7D-CDBB-CD9B1AA39D2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55750" y="304800"/>
          <a:ext cx="3088234" cy="473075"/>
        </a:xfrm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9</xdr:col>
      <xdr:colOff>138679</xdr:colOff>
      <xdr:row>19</xdr:row>
      <xdr:rowOff>124445</xdr:rowOff>
    </xdr:from>
    <xdr:to>
      <xdr:col>17</xdr:col>
      <xdr:colOff>788276</xdr:colOff>
      <xdr:row>32</xdr:row>
      <xdr:rowOff>30655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7466D05A-D8FB-49D3-B394-4D69B31B4BD9}"/>
            </a:ext>
            <a:ext uri="{147F2762-F138-4A5C-976F-8EAC2B608ADB}">
              <a16:predDERef xmlns:a16="http://schemas.microsoft.com/office/drawing/2014/main" pred="{76B5D0D8-E6F7-4D8E-8B17-74FA4BACE9B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</xdr:col>
      <xdr:colOff>12681</xdr:colOff>
      <xdr:row>4</xdr:row>
      <xdr:rowOff>79284</xdr:rowOff>
    </xdr:from>
    <xdr:to>
      <xdr:col>8</xdr:col>
      <xdr:colOff>182687</xdr:colOff>
      <xdr:row>16</xdr:row>
      <xdr:rowOff>25454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EC163D89-611F-40AB-A225-AC903EEA849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9</xdr:col>
      <xdr:colOff>157655</xdr:colOff>
      <xdr:row>7</xdr:row>
      <xdr:rowOff>78828</xdr:rowOff>
    </xdr:from>
    <xdr:to>
      <xdr:col>17</xdr:col>
      <xdr:colOff>735724</xdr:colOff>
      <xdr:row>17</xdr:row>
      <xdr:rowOff>118242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396841E9-8D28-47F4-AC75-A2377527D24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2</xdr:col>
      <xdr:colOff>144518</xdr:colOff>
      <xdr:row>19</xdr:row>
      <xdr:rowOff>131380</xdr:rowOff>
    </xdr:from>
    <xdr:to>
      <xdr:col>7</xdr:col>
      <xdr:colOff>1221828</xdr:colOff>
      <xdr:row>32</xdr:row>
      <xdr:rowOff>52552</xdr:rowOff>
    </xdr:to>
    <xdr:graphicFrame macro="">
      <xdr:nvGraphicFramePr>
        <xdr:cNvPr id="11" name="Chart 10">
          <a:extLst>
            <a:ext uri="{FF2B5EF4-FFF2-40B4-BE49-F238E27FC236}">
              <a16:creationId xmlns:a16="http://schemas.microsoft.com/office/drawing/2014/main" id="{D8AE6C95-E037-4039-BF55-E6C7A5AE64F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333375</xdr:colOff>
      <xdr:row>1</xdr:row>
      <xdr:rowOff>122237</xdr:rowOff>
    </xdr:from>
    <xdr:to>
      <xdr:col>6</xdr:col>
      <xdr:colOff>937171</xdr:colOff>
      <xdr:row>3</xdr:row>
      <xdr:rowOff>133350</xdr:rowOff>
    </xdr:to>
    <xdr:pic>
      <xdr:nvPicPr>
        <xdr:cNvPr id="4" name="Picture 4">
          <a:extLst>
            <a:ext uri="{FF2B5EF4-FFF2-40B4-BE49-F238E27FC236}">
              <a16:creationId xmlns:a16="http://schemas.microsoft.com/office/drawing/2014/main" id="{27663FFA-EDE4-4886-8A9E-DB85197421C9}"/>
            </a:ext>
            <a:ext uri="{147F2762-F138-4A5C-976F-8EAC2B608ADB}">
              <a16:predDERef xmlns:a16="http://schemas.microsoft.com/office/drawing/2014/main" pred="{67D0CE19-3C1E-45B7-ABE4-965BAC5E243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52575" y="303212"/>
          <a:ext cx="3042196" cy="468313"/>
        </a:xfrm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2</xdr:col>
      <xdr:colOff>214313</xdr:colOff>
      <xdr:row>19</xdr:row>
      <xdr:rowOff>38100</xdr:rowOff>
    </xdr:from>
    <xdr:to>
      <xdr:col>9</xdr:col>
      <xdr:colOff>500062</xdr:colOff>
      <xdr:row>31</xdr:row>
      <xdr:rowOff>95249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5" name="Chart 5">
              <a:extLst>
                <a:ext uri="{FF2B5EF4-FFF2-40B4-BE49-F238E27FC236}">
                  <a16:creationId xmlns:a16="http://schemas.microsoft.com/office/drawing/2014/main" id="{D4D34810-EF5B-45E6-BE9D-A8F3DA84C48A}"/>
                </a:ext>
                <a:ext uri="{147F2762-F138-4A5C-976F-8EAC2B608ADB}">
                  <a16:predDERef xmlns:a16="http://schemas.microsoft.com/office/drawing/2014/main" pred="{27663FFA-EDE4-4886-8A9E-DB85197421C9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2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433513" y="3810000"/>
              <a:ext cx="6701789" cy="2251709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NG" sz="1100"/>
                <a:t>This chart isn’t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xdr:twoCellAnchor>
    <xdr:from>
      <xdr:col>10</xdr:col>
      <xdr:colOff>393699</xdr:colOff>
      <xdr:row>19</xdr:row>
      <xdr:rowOff>63500</xdr:rowOff>
    </xdr:from>
    <xdr:to>
      <xdr:col>17</xdr:col>
      <xdr:colOff>801686</xdr:colOff>
      <xdr:row>30</xdr:row>
      <xdr:rowOff>142875</xdr:rowOff>
    </xdr:to>
    <xdr:graphicFrame macro="">
      <xdr:nvGraphicFramePr>
        <xdr:cNvPr id="6" name="Chart 6">
          <a:extLst>
            <a:ext uri="{FF2B5EF4-FFF2-40B4-BE49-F238E27FC236}">
              <a16:creationId xmlns:a16="http://schemas.microsoft.com/office/drawing/2014/main" id="{85180FC9-BCE6-4001-AD9D-BD93628AC3D9}"/>
            </a:ext>
            <a:ext uri="{147F2762-F138-4A5C-976F-8EAC2B608ADB}">
              <a16:predDERef xmlns:a16="http://schemas.microsoft.com/office/drawing/2014/main" pred="{D4D34810-EF5B-45E6-BE9D-A8F3DA84C48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10</xdr:col>
      <xdr:colOff>525859</xdr:colOff>
      <xdr:row>7</xdr:row>
      <xdr:rowOff>39686</xdr:rowOff>
    </xdr:from>
    <xdr:to>
      <xdr:col>17</xdr:col>
      <xdr:colOff>430212</xdr:colOff>
      <xdr:row>16</xdr:row>
      <xdr:rowOff>128983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C9B0E488-6993-48DC-AA33-A3DAA08794E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2</xdr:col>
      <xdr:colOff>317501</xdr:colOff>
      <xdr:row>5</xdr:row>
      <xdr:rowOff>178594</xdr:rowOff>
    </xdr:from>
    <xdr:to>
      <xdr:col>9</xdr:col>
      <xdr:colOff>446484</xdr:colOff>
      <xdr:row>17</xdr:row>
      <xdr:rowOff>128985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F3B3B5CE-06B4-4044-827F-8EEE6C36016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1001"/>
  <sheetViews>
    <sheetView zoomScaleNormal="100" workbookViewId="0">
      <selection activeCell="C12" sqref="C12"/>
    </sheetView>
  </sheetViews>
  <sheetFormatPr defaultColWidth="14.44140625" defaultRowHeight="15" customHeight="1" x14ac:dyDescent="0.3"/>
  <cols>
    <col min="1" max="1" width="8.6640625" customWidth="1"/>
    <col min="2" max="2" width="15.88671875" style="28" customWidth="1"/>
    <col min="3" max="3" width="16.5546875" style="28" customWidth="1"/>
    <col min="4" max="5" width="8.6640625" style="28" customWidth="1"/>
    <col min="6" max="6" width="18" style="28" customWidth="1"/>
    <col min="7" max="7" width="17.6640625" style="28" customWidth="1"/>
    <col min="8" max="8" width="9.109375" style="28" customWidth="1"/>
    <col min="9" max="9" width="9.33203125" style="28" customWidth="1"/>
    <col min="10" max="10" width="14.6640625" style="28" customWidth="1"/>
    <col min="11" max="11" width="11.44140625" style="28" customWidth="1"/>
    <col min="12" max="15" width="8.6640625" style="28" customWidth="1"/>
    <col min="16" max="16" width="11.33203125" style="28" customWidth="1"/>
    <col min="17" max="17" width="18.44140625" style="28" customWidth="1"/>
    <col min="18" max="18" width="8.6640625" style="28" customWidth="1"/>
    <col min="19" max="20" width="8.6640625" customWidth="1"/>
  </cols>
  <sheetData>
    <row r="1" spans="1:17" ht="14.25" customHeight="1" x14ac:dyDescent="0.3">
      <c r="B1" s="3" t="s">
        <v>0</v>
      </c>
      <c r="C1" s="3" t="s">
        <v>1</v>
      </c>
      <c r="D1" s="3"/>
      <c r="E1" s="3"/>
      <c r="F1" s="3" t="s">
        <v>0</v>
      </c>
      <c r="G1" s="3" t="s">
        <v>2</v>
      </c>
      <c r="H1" s="3"/>
      <c r="I1" s="3"/>
      <c r="J1" s="3" t="s">
        <v>0</v>
      </c>
      <c r="K1" s="3" t="s">
        <v>3</v>
      </c>
      <c r="P1" s="28" t="s">
        <v>0</v>
      </c>
      <c r="Q1" s="28" t="s">
        <v>4</v>
      </c>
    </row>
    <row r="2" spans="1:17" ht="14.25" customHeight="1" x14ac:dyDescent="0.3">
      <c r="B2" s="28" t="s">
        <v>5</v>
      </c>
      <c r="C2" s="28">
        <v>237.48</v>
      </c>
      <c r="F2" s="28" t="s">
        <v>5</v>
      </c>
      <c r="G2" s="48">
        <v>6.12</v>
      </c>
      <c r="J2" s="28" t="s">
        <v>5</v>
      </c>
      <c r="K2" s="28">
        <v>0.48</v>
      </c>
      <c r="P2" s="28" t="s">
        <v>6</v>
      </c>
      <c r="Q2" s="28">
        <v>180</v>
      </c>
    </row>
    <row r="3" spans="1:17" ht="14.25" customHeight="1" x14ac:dyDescent="0.3">
      <c r="B3" s="28" t="s">
        <v>7</v>
      </c>
      <c r="C3" s="28">
        <v>158.25</v>
      </c>
      <c r="F3" s="28" t="s">
        <v>7</v>
      </c>
      <c r="G3" s="46">
        <v>0</v>
      </c>
      <c r="J3" s="28" t="s">
        <v>7</v>
      </c>
      <c r="K3" s="28">
        <v>0</v>
      </c>
      <c r="P3" s="28" t="s">
        <v>8</v>
      </c>
      <c r="Q3" s="28">
        <v>90</v>
      </c>
    </row>
    <row r="4" spans="1:17" ht="14.25" customHeight="1" x14ac:dyDescent="0.3">
      <c r="A4" s="13"/>
      <c r="B4" s="28" t="s">
        <v>9</v>
      </c>
      <c r="C4" s="28">
        <v>135</v>
      </c>
      <c r="F4" s="28" t="s">
        <v>9</v>
      </c>
      <c r="G4" s="28">
        <v>109</v>
      </c>
      <c r="J4" s="39" t="s">
        <v>9</v>
      </c>
      <c r="K4" s="28">
        <v>13.56</v>
      </c>
      <c r="P4" s="28" t="s">
        <v>10</v>
      </c>
      <c r="Q4" s="28">
        <v>0</v>
      </c>
    </row>
    <row r="5" spans="1:17" ht="14.25" customHeight="1" x14ac:dyDescent="0.3">
      <c r="B5" s="40" t="s">
        <v>45</v>
      </c>
      <c r="C5" s="28">
        <v>150</v>
      </c>
      <c r="F5" s="48" t="s">
        <v>45</v>
      </c>
      <c r="G5" s="51">
        <v>37</v>
      </c>
      <c r="J5" s="48" t="s">
        <v>45</v>
      </c>
      <c r="K5" s="51">
        <v>12</v>
      </c>
      <c r="P5" s="28" t="s">
        <v>11</v>
      </c>
      <c r="Q5" s="28">
        <v>240</v>
      </c>
    </row>
    <row r="6" spans="1:17" ht="14.25" customHeight="1" x14ac:dyDescent="0.3">
      <c r="B6" s="28" t="s">
        <v>12</v>
      </c>
      <c r="C6" s="28">
        <v>205</v>
      </c>
      <c r="F6" s="28" t="s">
        <v>13</v>
      </c>
      <c r="G6" s="44">
        <v>0</v>
      </c>
      <c r="J6" s="28" t="s">
        <v>13</v>
      </c>
      <c r="K6" s="28">
        <v>0</v>
      </c>
    </row>
    <row r="7" spans="1:17" ht="14.25" customHeight="1" x14ac:dyDescent="0.3">
      <c r="A7" s="13"/>
      <c r="B7" s="28" t="s">
        <v>14</v>
      </c>
      <c r="C7" s="28">
        <v>0</v>
      </c>
      <c r="F7" s="28" t="s">
        <v>14</v>
      </c>
      <c r="G7" s="28">
        <v>0</v>
      </c>
      <c r="J7" s="28" t="s">
        <v>14</v>
      </c>
      <c r="K7" s="28">
        <v>0</v>
      </c>
      <c r="P7" s="28" t="s">
        <v>15</v>
      </c>
      <c r="Q7" s="28">
        <v>0</v>
      </c>
    </row>
    <row r="8" spans="1:17" ht="14.25" customHeight="1" x14ac:dyDescent="0.3">
      <c r="B8" s="28" t="s">
        <v>8</v>
      </c>
      <c r="C8" s="29">
        <v>103.5</v>
      </c>
      <c r="F8" s="28" t="s">
        <v>8</v>
      </c>
      <c r="G8" s="51">
        <v>0</v>
      </c>
      <c r="J8" s="28" t="s">
        <v>8</v>
      </c>
      <c r="K8" s="36">
        <v>0</v>
      </c>
      <c r="P8" s="28" t="s">
        <v>16</v>
      </c>
      <c r="Q8" s="28">
        <v>0</v>
      </c>
    </row>
    <row r="9" spans="1:17" ht="14.25" customHeight="1" x14ac:dyDescent="0.3">
      <c r="A9" s="13"/>
      <c r="B9" s="28" t="s">
        <v>10</v>
      </c>
      <c r="C9" s="50">
        <v>15</v>
      </c>
      <c r="F9" s="28" t="s">
        <v>10</v>
      </c>
      <c r="G9" s="38">
        <v>0</v>
      </c>
      <c r="J9" s="28" t="s">
        <v>10</v>
      </c>
      <c r="K9" s="30">
        <v>1.19</v>
      </c>
      <c r="P9" s="28" t="s">
        <v>17</v>
      </c>
      <c r="Q9" s="28">
        <v>0</v>
      </c>
    </row>
    <row r="10" spans="1:17" ht="14.25" customHeight="1" x14ac:dyDescent="0.3">
      <c r="B10" s="28" t="s">
        <v>18</v>
      </c>
      <c r="C10" s="28">
        <v>360</v>
      </c>
      <c r="F10" s="28" t="s">
        <v>18</v>
      </c>
      <c r="G10" s="28">
        <v>55</v>
      </c>
      <c r="J10" s="28" t="s">
        <v>18</v>
      </c>
      <c r="K10" s="33">
        <v>0</v>
      </c>
      <c r="P10" s="28" t="s">
        <v>19</v>
      </c>
      <c r="Q10" s="28">
        <v>0</v>
      </c>
    </row>
    <row r="11" spans="1:17" ht="14.25" customHeight="1" x14ac:dyDescent="0.3">
      <c r="B11" s="28" t="s">
        <v>20</v>
      </c>
      <c r="C11" s="34">
        <v>360</v>
      </c>
      <c r="F11" s="28" t="s">
        <v>20</v>
      </c>
      <c r="G11" s="51">
        <v>0</v>
      </c>
      <c r="J11" s="28" t="s">
        <v>20</v>
      </c>
      <c r="K11" s="33">
        <v>0</v>
      </c>
      <c r="P11" s="28" t="s">
        <v>36</v>
      </c>
      <c r="Q11" s="28">
        <v>0</v>
      </c>
    </row>
    <row r="12" spans="1:17" ht="14.25" customHeight="1" x14ac:dyDescent="0.3">
      <c r="A12" s="13"/>
      <c r="B12" s="28" t="s">
        <v>21</v>
      </c>
      <c r="C12" s="32">
        <v>54</v>
      </c>
      <c r="F12" s="28" t="s">
        <v>21</v>
      </c>
      <c r="G12" s="28">
        <v>1</v>
      </c>
      <c r="J12" s="28" t="s">
        <v>21</v>
      </c>
      <c r="K12" s="28">
        <v>1</v>
      </c>
    </row>
    <row r="13" spans="1:17" ht="14.25" customHeight="1" x14ac:dyDescent="0.3">
      <c r="A13" s="13"/>
      <c r="B13" s="28" t="s">
        <v>22</v>
      </c>
      <c r="C13" s="28">
        <v>97.5</v>
      </c>
      <c r="F13" s="28" t="s">
        <v>22</v>
      </c>
      <c r="G13" s="28">
        <v>0</v>
      </c>
      <c r="J13" s="28" t="s">
        <v>22</v>
      </c>
      <c r="K13" s="28">
        <v>0</v>
      </c>
    </row>
    <row r="14" spans="1:17" ht="14.25" customHeight="1" x14ac:dyDescent="0.3">
      <c r="A14" s="13"/>
      <c r="B14" s="28" t="s">
        <v>19</v>
      </c>
      <c r="C14" s="28">
        <v>95</v>
      </c>
      <c r="F14" s="28" t="s">
        <v>19</v>
      </c>
      <c r="G14" s="51">
        <v>108</v>
      </c>
      <c r="J14" s="28" t="s">
        <v>19</v>
      </c>
      <c r="K14" s="51">
        <v>20.8</v>
      </c>
    </row>
    <row r="15" spans="1:17" ht="14.25" customHeight="1" x14ac:dyDescent="0.3">
      <c r="B15" s="28" t="s">
        <v>23</v>
      </c>
      <c r="C15" s="31">
        <v>203</v>
      </c>
      <c r="F15" s="28" t="s">
        <v>23</v>
      </c>
      <c r="G15" s="51">
        <v>14</v>
      </c>
      <c r="J15" s="28" t="s">
        <v>23</v>
      </c>
      <c r="K15" s="51">
        <v>1.5</v>
      </c>
    </row>
    <row r="16" spans="1:17" ht="14.25" customHeight="1" x14ac:dyDescent="0.3">
      <c r="A16" s="17"/>
      <c r="B16" s="28" t="s">
        <v>24</v>
      </c>
      <c r="C16" s="49">
        <v>405</v>
      </c>
      <c r="F16" s="28" t="s">
        <v>24</v>
      </c>
      <c r="G16" s="51">
        <v>0</v>
      </c>
      <c r="J16" s="28" t="s">
        <v>24</v>
      </c>
      <c r="K16" s="52">
        <v>0</v>
      </c>
    </row>
    <row r="17" spans="2:11" ht="14.25" customHeight="1" x14ac:dyDescent="0.3"/>
    <row r="18" spans="2:11" ht="14.25" customHeight="1" x14ac:dyDescent="0.3"/>
    <row r="19" spans="2:11" ht="14.25" customHeight="1" x14ac:dyDescent="0.3"/>
    <row r="20" spans="2:11" ht="14.25" customHeight="1" x14ac:dyDescent="0.3">
      <c r="B20" s="28" t="s">
        <v>0</v>
      </c>
      <c r="C20" s="47" t="s">
        <v>1</v>
      </c>
      <c r="F20" s="28" t="s">
        <v>0</v>
      </c>
      <c r="G20" s="28" t="s">
        <v>2</v>
      </c>
      <c r="J20" s="28" t="s">
        <v>0</v>
      </c>
      <c r="K20" s="28" t="s">
        <v>25</v>
      </c>
    </row>
    <row r="21" spans="2:11" ht="14.25" customHeight="1" x14ac:dyDescent="0.3">
      <c r="B21" s="28" t="s">
        <v>26</v>
      </c>
      <c r="C21" s="28">
        <v>530</v>
      </c>
      <c r="F21" s="28" t="s">
        <v>26</v>
      </c>
      <c r="G21" s="28">
        <v>490</v>
      </c>
      <c r="J21" s="28" t="s">
        <v>26</v>
      </c>
      <c r="K21" s="28">
        <v>29.7</v>
      </c>
    </row>
    <row r="22" spans="2:11" ht="14.25" customHeight="1" x14ac:dyDescent="0.3">
      <c r="B22" s="28" t="s">
        <v>27</v>
      </c>
      <c r="C22" s="28">
        <v>130</v>
      </c>
      <c r="F22" s="28" t="s">
        <v>27</v>
      </c>
      <c r="G22" s="28">
        <v>70</v>
      </c>
      <c r="J22" s="28" t="s">
        <v>28</v>
      </c>
      <c r="K22" s="28">
        <v>19.5</v>
      </c>
    </row>
    <row r="23" spans="2:11" ht="14.25" customHeight="1" x14ac:dyDescent="0.3"/>
    <row r="24" spans="2:11" ht="14.25" customHeight="1" x14ac:dyDescent="0.3">
      <c r="H24" s="45" t="s">
        <v>44</v>
      </c>
    </row>
    <row r="25" spans="2:11" ht="14.25" customHeight="1" x14ac:dyDescent="0.3"/>
    <row r="26" spans="2:11" ht="14.25" customHeight="1" x14ac:dyDescent="0.3"/>
    <row r="27" spans="2:11" ht="14.25" customHeight="1" x14ac:dyDescent="0.3"/>
    <row r="28" spans="2:11" ht="14.25" customHeight="1" x14ac:dyDescent="0.3"/>
    <row r="29" spans="2:11" ht="14.25" customHeight="1" x14ac:dyDescent="0.3"/>
    <row r="30" spans="2:11" ht="14.25" customHeight="1" x14ac:dyDescent="0.3"/>
    <row r="31" spans="2:11" ht="14.25" customHeight="1" x14ac:dyDescent="0.3"/>
    <row r="32" spans="2:11" ht="14.25" customHeight="1" x14ac:dyDescent="0.3"/>
    <row r="33" ht="14.25" customHeight="1" x14ac:dyDescent="0.3"/>
    <row r="34" ht="14.25" customHeight="1" x14ac:dyDescent="0.3"/>
    <row r="35" ht="14.25" customHeight="1" x14ac:dyDescent="0.3"/>
    <row r="36" ht="14.25" customHeight="1" x14ac:dyDescent="0.3"/>
    <row r="37" ht="14.25" customHeight="1" x14ac:dyDescent="0.3"/>
    <row r="38" ht="14.25" customHeight="1" x14ac:dyDescent="0.3"/>
    <row r="39" ht="14.25" customHeight="1" x14ac:dyDescent="0.3"/>
    <row r="40" ht="14.25" customHeight="1" x14ac:dyDescent="0.3"/>
    <row r="41" ht="14.25" customHeight="1" x14ac:dyDescent="0.3"/>
    <row r="42" ht="14.25" customHeight="1" x14ac:dyDescent="0.3"/>
    <row r="43" ht="14.25" customHeight="1" x14ac:dyDescent="0.3"/>
    <row r="44" ht="14.25" customHeight="1" x14ac:dyDescent="0.3"/>
    <row r="45" ht="14.25" customHeight="1" x14ac:dyDescent="0.3"/>
    <row r="46" ht="14.25" customHeight="1" x14ac:dyDescent="0.3"/>
    <row r="47" ht="14.25" customHeight="1" x14ac:dyDescent="0.3"/>
    <row r="48" ht="14.25" customHeight="1" x14ac:dyDescent="0.3"/>
    <row r="49" spans="7:7" ht="14.25" customHeight="1" x14ac:dyDescent="0.3"/>
    <row r="50" spans="7:7" ht="14.25" customHeight="1" x14ac:dyDescent="0.3"/>
    <row r="51" spans="7:7" ht="14.25" customHeight="1" x14ac:dyDescent="0.3"/>
    <row r="52" spans="7:7" ht="14.25" customHeight="1" x14ac:dyDescent="0.3"/>
    <row r="53" spans="7:7" ht="14.25" customHeight="1" x14ac:dyDescent="0.3"/>
    <row r="54" spans="7:7" ht="14.25" customHeight="1" x14ac:dyDescent="0.3"/>
    <row r="55" spans="7:7" ht="14.25" customHeight="1" x14ac:dyDescent="0.3"/>
    <row r="56" spans="7:7" ht="14.25" customHeight="1" x14ac:dyDescent="0.3"/>
    <row r="57" spans="7:7" ht="14.25" customHeight="1" x14ac:dyDescent="0.3"/>
    <row r="58" spans="7:7" ht="14.25" customHeight="1" x14ac:dyDescent="0.3"/>
    <row r="59" spans="7:7" ht="14.25" customHeight="1" x14ac:dyDescent="0.3"/>
    <row r="60" spans="7:7" ht="14.25" customHeight="1" x14ac:dyDescent="0.3"/>
    <row r="61" spans="7:7" ht="14.25" customHeight="1" x14ac:dyDescent="0.3">
      <c r="G61" s="28">
        <v>11</v>
      </c>
    </row>
    <row r="62" spans="7:7" ht="14.25" customHeight="1" x14ac:dyDescent="0.3"/>
    <row r="63" spans="7:7" ht="14.25" customHeight="1" x14ac:dyDescent="0.3"/>
    <row r="64" spans="7:7" ht="14.25" customHeight="1" x14ac:dyDescent="0.3"/>
    <row r="65" ht="14.25" customHeight="1" x14ac:dyDescent="0.3"/>
    <row r="66" ht="14.25" customHeight="1" x14ac:dyDescent="0.3"/>
    <row r="67" ht="14.25" customHeight="1" x14ac:dyDescent="0.3"/>
    <row r="68" ht="14.25" customHeight="1" x14ac:dyDescent="0.3"/>
    <row r="69" ht="14.25" customHeight="1" x14ac:dyDescent="0.3"/>
    <row r="70" ht="14.25" customHeight="1" x14ac:dyDescent="0.3"/>
    <row r="71" ht="14.25" customHeight="1" x14ac:dyDescent="0.3"/>
    <row r="72" ht="14.25" customHeight="1" x14ac:dyDescent="0.3"/>
    <row r="73" ht="14.25" customHeight="1" x14ac:dyDescent="0.3"/>
    <row r="74" ht="14.25" customHeight="1" x14ac:dyDescent="0.3"/>
    <row r="75" ht="14.25" customHeight="1" x14ac:dyDescent="0.3"/>
    <row r="76" ht="14.25" customHeight="1" x14ac:dyDescent="0.3"/>
    <row r="77" ht="14.25" customHeight="1" x14ac:dyDescent="0.3"/>
    <row r="78" ht="14.25" customHeight="1" x14ac:dyDescent="0.3"/>
    <row r="79" ht="14.25" customHeight="1" x14ac:dyDescent="0.3"/>
    <row r="80" ht="14.25" customHeight="1" x14ac:dyDescent="0.3"/>
    <row r="81" ht="14.25" customHeight="1" x14ac:dyDescent="0.3"/>
    <row r="82" ht="14.25" customHeight="1" x14ac:dyDescent="0.3"/>
    <row r="83" ht="14.25" customHeight="1" x14ac:dyDescent="0.3"/>
    <row r="84" ht="14.25" customHeight="1" x14ac:dyDescent="0.3"/>
    <row r="85" ht="14.25" customHeight="1" x14ac:dyDescent="0.3"/>
    <row r="86" ht="14.25" customHeight="1" x14ac:dyDescent="0.3"/>
    <row r="87" ht="14.25" customHeight="1" x14ac:dyDescent="0.3"/>
    <row r="88" ht="14.25" customHeight="1" x14ac:dyDescent="0.3"/>
    <row r="89" ht="14.25" customHeight="1" x14ac:dyDescent="0.3"/>
    <row r="90" ht="14.25" customHeight="1" x14ac:dyDescent="0.3"/>
    <row r="91" ht="14.25" customHeight="1" x14ac:dyDescent="0.3"/>
    <row r="92" ht="14.25" customHeight="1" x14ac:dyDescent="0.3"/>
    <row r="93" ht="14.25" customHeight="1" x14ac:dyDescent="0.3"/>
    <row r="94" ht="14.25" customHeight="1" x14ac:dyDescent="0.3"/>
    <row r="95" ht="14.25" customHeight="1" x14ac:dyDescent="0.3"/>
    <row r="96" ht="14.25" customHeight="1" x14ac:dyDescent="0.3"/>
    <row r="97" ht="14.25" customHeight="1" x14ac:dyDescent="0.3"/>
    <row r="98" ht="14.25" customHeight="1" x14ac:dyDescent="0.3"/>
    <row r="99" ht="14.25" customHeight="1" x14ac:dyDescent="0.3"/>
    <row r="100" ht="14.25" customHeight="1" x14ac:dyDescent="0.3"/>
    <row r="101" ht="14.25" customHeight="1" x14ac:dyDescent="0.3"/>
    <row r="102" ht="14.25" customHeight="1" x14ac:dyDescent="0.3"/>
    <row r="103" ht="14.25" customHeight="1" x14ac:dyDescent="0.3"/>
    <row r="104" ht="14.25" customHeight="1" x14ac:dyDescent="0.3"/>
    <row r="105" ht="14.25" customHeight="1" x14ac:dyDescent="0.3"/>
    <row r="106" ht="14.25" customHeight="1" x14ac:dyDescent="0.3"/>
    <row r="107" ht="14.25" customHeight="1" x14ac:dyDescent="0.3"/>
    <row r="108" ht="14.25" customHeight="1" x14ac:dyDescent="0.3"/>
    <row r="109" ht="14.25" customHeight="1" x14ac:dyDescent="0.3"/>
    <row r="110" ht="14.25" customHeight="1" x14ac:dyDescent="0.3"/>
    <row r="111" ht="14.25" customHeight="1" x14ac:dyDescent="0.3"/>
    <row r="112" ht="14.25" customHeight="1" x14ac:dyDescent="0.3"/>
    <row r="113" ht="14.25" customHeight="1" x14ac:dyDescent="0.3"/>
    <row r="114" ht="14.25" customHeight="1" x14ac:dyDescent="0.3"/>
    <row r="115" ht="14.25" customHeight="1" x14ac:dyDescent="0.3"/>
    <row r="116" ht="14.25" customHeight="1" x14ac:dyDescent="0.3"/>
    <row r="117" ht="14.25" customHeight="1" x14ac:dyDescent="0.3"/>
    <row r="118" ht="14.25" customHeight="1" x14ac:dyDescent="0.3"/>
    <row r="119" ht="14.25" customHeight="1" x14ac:dyDescent="0.3"/>
    <row r="120" ht="14.25" customHeight="1" x14ac:dyDescent="0.3"/>
    <row r="121" ht="14.25" customHeight="1" x14ac:dyDescent="0.3"/>
    <row r="122" ht="14.25" customHeight="1" x14ac:dyDescent="0.3"/>
    <row r="123" ht="14.25" customHeight="1" x14ac:dyDescent="0.3"/>
    <row r="124" ht="14.25" customHeight="1" x14ac:dyDescent="0.3"/>
    <row r="125" ht="14.25" customHeight="1" x14ac:dyDescent="0.3"/>
    <row r="126" ht="14.25" customHeight="1" x14ac:dyDescent="0.3"/>
    <row r="127" ht="14.25" customHeight="1" x14ac:dyDescent="0.3"/>
    <row r="128" ht="14.25" customHeight="1" x14ac:dyDescent="0.3"/>
    <row r="129" ht="14.25" customHeight="1" x14ac:dyDescent="0.3"/>
    <row r="130" ht="14.25" customHeight="1" x14ac:dyDescent="0.3"/>
    <row r="131" ht="14.25" customHeight="1" x14ac:dyDescent="0.3"/>
    <row r="132" ht="14.25" customHeight="1" x14ac:dyDescent="0.3"/>
    <row r="133" ht="14.25" customHeight="1" x14ac:dyDescent="0.3"/>
    <row r="134" ht="14.25" customHeight="1" x14ac:dyDescent="0.3"/>
    <row r="135" ht="14.25" customHeight="1" x14ac:dyDescent="0.3"/>
    <row r="136" ht="14.25" customHeight="1" x14ac:dyDescent="0.3"/>
    <row r="137" ht="14.25" customHeight="1" x14ac:dyDescent="0.3"/>
    <row r="138" ht="14.25" customHeight="1" x14ac:dyDescent="0.3"/>
    <row r="139" ht="14.25" customHeight="1" x14ac:dyDescent="0.3"/>
    <row r="140" ht="14.25" customHeight="1" x14ac:dyDescent="0.3"/>
    <row r="141" ht="14.25" customHeight="1" x14ac:dyDescent="0.3"/>
    <row r="142" ht="14.25" customHeight="1" x14ac:dyDescent="0.3"/>
    <row r="143" ht="14.25" customHeight="1" x14ac:dyDescent="0.3"/>
    <row r="144" ht="14.25" customHeight="1" x14ac:dyDescent="0.3"/>
    <row r="145" ht="14.25" customHeight="1" x14ac:dyDescent="0.3"/>
    <row r="146" ht="14.25" customHeight="1" x14ac:dyDescent="0.3"/>
    <row r="147" ht="14.25" customHeight="1" x14ac:dyDescent="0.3"/>
    <row r="148" ht="14.25" customHeight="1" x14ac:dyDescent="0.3"/>
    <row r="149" ht="14.25" customHeight="1" x14ac:dyDescent="0.3"/>
    <row r="150" ht="14.25" customHeight="1" x14ac:dyDescent="0.3"/>
    <row r="151" ht="14.25" customHeight="1" x14ac:dyDescent="0.3"/>
    <row r="152" ht="14.25" customHeight="1" x14ac:dyDescent="0.3"/>
    <row r="153" ht="14.25" customHeight="1" x14ac:dyDescent="0.3"/>
    <row r="154" ht="14.25" customHeight="1" x14ac:dyDescent="0.3"/>
    <row r="155" ht="14.25" customHeight="1" x14ac:dyDescent="0.3"/>
    <row r="156" ht="14.25" customHeight="1" x14ac:dyDescent="0.3"/>
    <row r="157" ht="14.25" customHeight="1" x14ac:dyDescent="0.3"/>
    <row r="158" ht="14.25" customHeight="1" x14ac:dyDescent="0.3"/>
    <row r="159" ht="14.25" customHeight="1" x14ac:dyDescent="0.3"/>
    <row r="160" ht="14.25" customHeight="1" x14ac:dyDescent="0.3"/>
    <row r="161" ht="14.25" customHeight="1" x14ac:dyDescent="0.3"/>
    <row r="162" ht="14.25" customHeight="1" x14ac:dyDescent="0.3"/>
    <row r="163" ht="14.25" customHeight="1" x14ac:dyDescent="0.3"/>
    <row r="164" ht="14.25" customHeight="1" x14ac:dyDescent="0.3"/>
    <row r="165" ht="14.25" customHeight="1" x14ac:dyDescent="0.3"/>
    <row r="166" ht="14.25" customHeight="1" x14ac:dyDescent="0.3"/>
    <row r="167" ht="14.25" customHeight="1" x14ac:dyDescent="0.3"/>
    <row r="168" ht="14.25" customHeight="1" x14ac:dyDescent="0.3"/>
    <row r="169" ht="14.25" customHeight="1" x14ac:dyDescent="0.3"/>
    <row r="170" ht="14.25" customHeight="1" x14ac:dyDescent="0.3"/>
    <row r="171" ht="14.25" customHeight="1" x14ac:dyDescent="0.3"/>
    <row r="172" ht="14.25" customHeight="1" x14ac:dyDescent="0.3"/>
    <row r="173" ht="14.25" customHeight="1" x14ac:dyDescent="0.3"/>
    <row r="174" ht="14.25" customHeight="1" x14ac:dyDescent="0.3"/>
    <row r="175" ht="14.25" customHeight="1" x14ac:dyDescent="0.3"/>
    <row r="176" ht="14.25" customHeight="1" x14ac:dyDescent="0.3"/>
    <row r="177" ht="14.25" customHeight="1" x14ac:dyDescent="0.3"/>
    <row r="178" ht="14.25" customHeight="1" x14ac:dyDescent="0.3"/>
    <row r="179" ht="14.25" customHeight="1" x14ac:dyDescent="0.3"/>
    <row r="180" ht="14.25" customHeight="1" x14ac:dyDescent="0.3"/>
    <row r="181" ht="14.25" customHeight="1" x14ac:dyDescent="0.3"/>
    <row r="182" ht="14.25" customHeight="1" x14ac:dyDescent="0.3"/>
    <row r="183" ht="14.25" customHeight="1" x14ac:dyDescent="0.3"/>
    <row r="184" ht="14.25" customHeight="1" x14ac:dyDescent="0.3"/>
    <row r="185" ht="14.25" customHeight="1" x14ac:dyDescent="0.3"/>
    <row r="186" ht="14.25" customHeight="1" x14ac:dyDescent="0.3"/>
    <row r="187" ht="14.25" customHeight="1" x14ac:dyDescent="0.3"/>
    <row r="188" ht="14.25" customHeight="1" x14ac:dyDescent="0.3"/>
    <row r="189" ht="14.25" customHeight="1" x14ac:dyDescent="0.3"/>
    <row r="190" ht="14.25" customHeight="1" x14ac:dyDescent="0.3"/>
    <row r="191" ht="14.25" customHeight="1" x14ac:dyDescent="0.3"/>
    <row r="192" ht="14.25" customHeight="1" x14ac:dyDescent="0.3"/>
    <row r="193" ht="14.25" customHeight="1" x14ac:dyDescent="0.3"/>
    <row r="194" ht="14.25" customHeight="1" x14ac:dyDescent="0.3"/>
    <row r="195" ht="14.25" customHeight="1" x14ac:dyDescent="0.3"/>
    <row r="196" ht="14.25" customHeight="1" x14ac:dyDescent="0.3"/>
    <row r="197" ht="14.25" customHeight="1" x14ac:dyDescent="0.3"/>
    <row r="198" ht="14.25" customHeight="1" x14ac:dyDescent="0.3"/>
    <row r="199" ht="14.25" customHeight="1" x14ac:dyDescent="0.3"/>
    <row r="200" ht="14.25" customHeight="1" x14ac:dyDescent="0.3"/>
    <row r="201" ht="14.25" customHeight="1" x14ac:dyDescent="0.3"/>
    <row r="202" ht="14.25" customHeight="1" x14ac:dyDescent="0.3"/>
    <row r="203" ht="14.25" customHeight="1" x14ac:dyDescent="0.3"/>
    <row r="204" ht="14.25" customHeight="1" x14ac:dyDescent="0.3"/>
    <row r="205" ht="14.25" customHeight="1" x14ac:dyDescent="0.3"/>
    <row r="206" ht="14.25" customHeight="1" x14ac:dyDescent="0.3"/>
    <row r="207" ht="14.25" customHeight="1" x14ac:dyDescent="0.3"/>
    <row r="208" ht="14.25" customHeight="1" x14ac:dyDescent="0.3"/>
    <row r="209" ht="14.25" customHeight="1" x14ac:dyDescent="0.3"/>
    <row r="210" ht="14.25" customHeight="1" x14ac:dyDescent="0.3"/>
    <row r="211" ht="14.25" customHeight="1" x14ac:dyDescent="0.3"/>
    <row r="212" ht="14.25" customHeight="1" x14ac:dyDescent="0.3"/>
    <row r="213" ht="14.25" customHeight="1" x14ac:dyDescent="0.3"/>
    <row r="214" ht="14.25" customHeight="1" x14ac:dyDescent="0.3"/>
    <row r="215" ht="14.25" customHeight="1" x14ac:dyDescent="0.3"/>
    <row r="216" ht="14.25" customHeight="1" x14ac:dyDescent="0.3"/>
    <row r="217" ht="14.25" customHeight="1" x14ac:dyDescent="0.3"/>
    <row r="218" ht="14.25" customHeight="1" x14ac:dyDescent="0.3"/>
    <row r="219" ht="14.25" customHeight="1" x14ac:dyDescent="0.3"/>
    <row r="220" ht="14.25" customHeight="1" x14ac:dyDescent="0.3"/>
    <row r="221" ht="14.25" customHeight="1" x14ac:dyDescent="0.3"/>
    <row r="222" ht="14.25" customHeight="1" x14ac:dyDescent="0.3"/>
    <row r="223" ht="14.25" customHeight="1" x14ac:dyDescent="0.3"/>
    <row r="224" ht="14.25" customHeight="1" x14ac:dyDescent="0.3"/>
    <row r="225" ht="14.25" customHeight="1" x14ac:dyDescent="0.3"/>
    <row r="226" ht="14.25" customHeight="1" x14ac:dyDescent="0.3"/>
    <row r="227" ht="14.25" customHeight="1" x14ac:dyDescent="0.3"/>
    <row r="228" ht="14.25" customHeight="1" x14ac:dyDescent="0.3"/>
    <row r="229" ht="14.25" customHeight="1" x14ac:dyDescent="0.3"/>
    <row r="230" ht="14.25" customHeight="1" x14ac:dyDescent="0.3"/>
    <row r="231" ht="14.25" customHeight="1" x14ac:dyDescent="0.3"/>
    <row r="232" ht="14.25" customHeight="1" x14ac:dyDescent="0.3"/>
    <row r="233" ht="14.25" customHeight="1" x14ac:dyDescent="0.3"/>
    <row r="234" ht="14.25" customHeight="1" x14ac:dyDescent="0.3"/>
    <row r="235" ht="14.25" customHeight="1" x14ac:dyDescent="0.3"/>
    <row r="236" ht="14.25" customHeight="1" x14ac:dyDescent="0.3"/>
    <row r="237" ht="14.25" customHeight="1" x14ac:dyDescent="0.3"/>
    <row r="238" ht="14.25" customHeight="1" x14ac:dyDescent="0.3"/>
    <row r="239" ht="14.25" customHeight="1" x14ac:dyDescent="0.3"/>
    <row r="240" ht="14.25" customHeight="1" x14ac:dyDescent="0.3"/>
    <row r="241" ht="14.25" customHeight="1" x14ac:dyDescent="0.3"/>
    <row r="242" ht="14.25" customHeight="1" x14ac:dyDescent="0.3"/>
    <row r="243" ht="14.25" customHeight="1" x14ac:dyDescent="0.3"/>
    <row r="244" ht="14.25" customHeight="1" x14ac:dyDescent="0.3"/>
    <row r="245" ht="14.25" customHeight="1" x14ac:dyDescent="0.3"/>
    <row r="246" ht="14.25" customHeight="1" x14ac:dyDescent="0.3"/>
    <row r="247" ht="14.25" customHeight="1" x14ac:dyDescent="0.3"/>
    <row r="248" ht="14.25" customHeight="1" x14ac:dyDescent="0.3"/>
    <row r="249" ht="14.25" customHeight="1" x14ac:dyDescent="0.3"/>
    <row r="250" ht="14.25" customHeight="1" x14ac:dyDescent="0.3"/>
    <row r="251" ht="14.25" customHeight="1" x14ac:dyDescent="0.3"/>
    <row r="252" ht="14.25" customHeight="1" x14ac:dyDescent="0.3"/>
    <row r="253" ht="14.25" customHeight="1" x14ac:dyDescent="0.3"/>
    <row r="254" ht="14.25" customHeight="1" x14ac:dyDescent="0.3"/>
    <row r="255" ht="14.25" customHeight="1" x14ac:dyDescent="0.3"/>
    <row r="256" ht="14.25" customHeight="1" x14ac:dyDescent="0.3"/>
    <row r="257" ht="14.25" customHeight="1" x14ac:dyDescent="0.3"/>
    <row r="258" ht="14.25" customHeight="1" x14ac:dyDescent="0.3"/>
    <row r="259" ht="14.25" customHeight="1" x14ac:dyDescent="0.3"/>
    <row r="260" ht="14.25" customHeight="1" x14ac:dyDescent="0.3"/>
    <row r="261" ht="14.25" customHeight="1" x14ac:dyDescent="0.3"/>
    <row r="262" ht="14.25" customHeight="1" x14ac:dyDescent="0.3"/>
    <row r="263" ht="14.25" customHeight="1" x14ac:dyDescent="0.3"/>
    <row r="264" ht="14.25" customHeight="1" x14ac:dyDescent="0.3"/>
    <row r="265" ht="14.25" customHeight="1" x14ac:dyDescent="0.3"/>
    <row r="266" ht="14.25" customHeight="1" x14ac:dyDescent="0.3"/>
    <row r="267" ht="14.25" customHeight="1" x14ac:dyDescent="0.3"/>
    <row r="268" ht="14.25" customHeight="1" x14ac:dyDescent="0.3"/>
    <row r="269" ht="14.25" customHeight="1" x14ac:dyDescent="0.3"/>
    <row r="270" ht="14.25" customHeight="1" x14ac:dyDescent="0.3"/>
    <row r="271" ht="14.25" customHeight="1" x14ac:dyDescent="0.3"/>
    <row r="272" ht="14.25" customHeight="1" x14ac:dyDescent="0.3"/>
    <row r="273" ht="14.25" customHeight="1" x14ac:dyDescent="0.3"/>
    <row r="274" ht="14.25" customHeight="1" x14ac:dyDescent="0.3"/>
    <row r="275" ht="14.25" customHeight="1" x14ac:dyDescent="0.3"/>
    <row r="276" ht="14.25" customHeight="1" x14ac:dyDescent="0.3"/>
    <row r="277" ht="14.25" customHeight="1" x14ac:dyDescent="0.3"/>
    <row r="278" ht="14.25" customHeight="1" x14ac:dyDescent="0.3"/>
    <row r="279" ht="14.25" customHeight="1" x14ac:dyDescent="0.3"/>
    <row r="280" ht="14.25" customHeight="1" x14ac:dyDescent="0.3"/>
    <row r="281" ht="14.25" customHeight="1" x14ac:dyDescent="0.3"/>
    <row r="282" ht="14.25" customHeight="1" x14ac:dyDescent="0.3"/>
    <row r="283" ht="14.25" customHeight="1" x14ac:dyDescent="0.3"/>
    <row r="284" ht="14.25" customHeight="1" x14ac:dyDescent="0.3"/>
    <row r="285" ht="14.25" customHeight="1" x14ac:dyDescent="0.3"/>
    <row r="286" ht="14.25" customHeight="1" x14ac:dyDescent="0.3"/>
    <row r="287" ht="14.25" customHeight="1" x14ac:dyDescent="0.3"/>
    <row r="288" ht="14.25" customHeight="1" x14ac:dyDescent="0.3"/>
    <row r="289" ht="14.25" customHeight="1" x14ac:dyDescent="0.3"/>
    <row r="290" ht="14.25" customHeight="1" x14ac:dyDescent="0.3"/>
    <row r="291" ht="14.25" customHeight="1" x14ac:dyDescent="0.3"/>
    <row r="292" ht="14.25" customHeight="1" x14ac:dyDescent="0.3"/>
    <row r="293" ht="14.25" customHeight="1" x14ac:dyDescent="0.3"/>
    <row r="294" ht="14.25" customHeight="1" x14ac:dyDescent="0.3"/>
    <row r="295" ht="14.25" customHeight="1" x14ac:dyDescent="0.3"/>
    <row r="296" ht="14.25" customHeight="1" x14ac:dyDescent="0.3"/>
    <row r="297" ht="14.25" customHeight="1" x14ac:dyDescent="0.3"/>
    <row r="298" ht="14.25" customHeight="1" x14ac:dyDescent="0.3"/>
    <row r="299" ht="14.25" customHeight="1" x14ac:dyDescent="0.3"/>
    <row r="300" ht="14.25" customHeight="1" x14ac:dyDescent="0.3"/>
    <row r="301" ht="14.25" customHeight="1" x14ac:dyDescent="0.3"/>
    <row r="302" ht="14.25" customHeight="1" x14ac:dyDescent="0.3"/>
    <row r="303" ht="14.25" customHeight="1" x14ac:dyDescent="0.3"/>
    <row r="304" ht="14.25" customHeight="1" x14ac:dyDescent="0.3"/>
    <row r="305" ht="14.25" customHeight="1" x14ac:dyDescent="0.3"/>
    <row r="306" ht="14.25" customHeight="1" x14ac:dyDescent="0.3"/>
    <row r="307" ht="14.25" customHeight="1" x14ac:dyDescent="0.3"/>
    <row r="308" ht="14.25" customHeight="1" x14ac:dyDescent="0.3"/>
    <row r="309" ht="14.25" customHeight="1" x14ac:dyDescent="0.3"/>
    <row r="310" ht="14.25" customHeight="1" x14ac:dyDescent="0.3"/>
    <row r="311" ht="14.25" customHeight="1" x14ac:dyDescent="0.3"/>
    <row r="312" ht="14.25" customHeight="1" x14ac:dyDescent="0.3"/>
    <row r="313" ht="14.25" customHeight="1" x14ac:dyDescent="0.3"/>
    <row r="314" ht="14.25" customHeight="1" x14ac:dyDescent="0.3"/>
    <row r="315" ht="14.25" customHeight="1" x14ac:dyDescent="0.3"/>
    <row r="316" ht="14.25" customHeight="1" x14ac:dyDescent="0.3"/>
    <row r="317" ht="14.25" customHeight="1" x14ac:dyDescent="0.3"/>
    <row r="318" ht="14.25" customHeight="1" x14ac:dyDescent="0.3"/>
    <row r="319" ht="14.25" customHeight="1" x14ac:dyDescent="0.3"/>
    <row r="320" ht="14.25" customHeight="1" x14ac:dyDescent="0.3"/>
    <row r="321" ht="14.25" customHeight="1" x14ac:dyDescent="0.3"/>
    <row r="322" ht="14.25" customHeight="1" x14ac:dyDescent="0.3"/>
    <row r="323" ht="14.25" customHeight="1" x14ac:dyDescent="0.3"/>
    <row r="324" ht="14.25" customHeight="1" x14ac:dyDescent="0.3"/>
    <row r="325" ht="14.25" customHeight="1" x14ac:dyDescent="0.3"/>
    <row r="326" ht="14.25" customHeight="1" x14ac:dyDescent="0.3"/>
    <row r="327" ht="14.25" customHeight="1" x14ac:dyDescent="0.3"/>
    <row r="328" ht="14.25" customHeight="1" x14ac:dyDescent="0.3"/>
    <row r="329" ht="14.25" customHeight="1" x14ac:dyDescent="0.3"/>
    <row r="330" ht="14.25" customHeight="1" x14ac:dyDescent="0.3"/>
    <row r="331" ht="14.25" customHeight="1" x14ac:dyDescent="0.3"/>
    <row r="332" ht="14.25" customHeight="1" x14ac:dyDescent="0.3"/>
    <row r="333" ht="14.25" customHeight="1" x14ac:dyDescent="0.3"/>
    <row r="334" ht="14.25" customHeight="1" x14ac:dyDescent="0.3"/>
    <row r="335" ht="14.25" customHeight="1" x14ac:dyDescent="0.3"/>
    <row r="336" ht="14.25" customHeight="1" x14ac:dyDescent="0.3"/>
    <row r="337" ht="14.25" customHeight="1" x14ac:dyDescent="0.3"/>
    <row r="338" ht="14.25" customHeight="1" x14ac:dyDescent="0.3"/>
    <row r="339" ht="14.25" customHeight="1" x14ac:dyDescent="0.3"/>
    <row r="340" ht="14.25" customHeight="1" x14ac:dyDescent="0.3"/>
    <row r="341" ht="14.25" customHeight="1" x14ac:dyDescent="0.3"/>
    <row r="342" ht="14.25" customHeight="1" x14ac:dyDescent="0.3"/>
    <row r="343" ht="14.25" customHeight="1" x14ac:dyDescent="0.3"/>
    <row r="344" ht="14.25" customHeight="1" x14ac:dyDescent="0.3"/>
    <row r="345" ht="14.25" customHeight="1" x14ac:dyDescent="0.3"/>
    <row r="346" ht="14.25" customHeight="1" x14ac:dyDescent="0.3"/>
    <row r="347" ht="14.25" customHeight="1" x14ac:dyDescent="0.3"/>
    <row r="348" ht="14.25" customHeight="1" x14ac:dyDescent="0.3"/>
    <row r="349" ht="14.25" customHeight="1" x14ac:dyDescent="0.3"/>
    <row r="350" ht="14.25" customHeight="1" x14ac:dyDescent="0.3"/>
    <row r="351" ht="14.25" customHeight="1" x14ac:dyDescent="0.3"/>
    <row r="352" ht="14.25" customHeight="1" x14ac:dyDescent="0.3"/>
    <row r="353" ht="14.25" customHeight="1" x14ac:dyDescent="0.3"/>
    <row r="354" ht="14.25" customHeight="1" x14ac:dyDescent="0.3"/>
    <row r="355" ht="14.25" customHeight="1" x14ac:dyDescent="0.3"/>
    <row r="356" ht="14.25" customHeight="1" x14ac:dyDescent="0.3"/>
    <row r="357" ht="14.25" customHeight="1" x14ac:dyDescent="0.3"/>
    <row r="358" ht="14.25" customHeight="1" x14ac:dyDescent="0.3"/>
    <row r="359" ht="14.25" customHeight="1" x14ac:dyDescent="0.3"/>
    <row r="360" ht="14.25" customHeight="1" x14ac:dyDescent="0.3"/>
    <row r="361" ht="14.25" customHeight="1" x14ac:dyDescent="0.3"/>
    <row r="362" ht="14.25" customHeight="1" x14ac:dyDescent="0.3"/>
    <row r="363" ht="14.25" customHeight="1" x14ac:dyDescent="0.3"/>
    <row r="364" ht="14.25" customHeight="1" x14ac:dyDescent="0.3"/>
    <row r="365" ht="14.25" customHeight="1" x14ac:dyDescent="0.3"/>
    <row r="366" ht="14.25" customHeight="1" x14ac:dyDescent="0.3"/>
    <row r="367" ht="14.25" customHeight="1" x14ac:dyDescent="0.3"/>
    <row r="368" ht="14.25" customHeight="1" x14ac:dyDescent="0.3"/>
    <row r="369" ht="14.25" customHeight="1" x14ac:dyDescent="0.3"/>
    <row r="370" ht="14.25" customHeight="1" x14ac:dyDescent="0.3"/>
    <row r="371" ht="14.25" customHeight="1" x14ac:dyDescent="0.3"/>
    <row r="372" ht="14.25" customHeight="1" x14ac:dyDescent="0.3"/>
    <row r="373" ht="14.25" customHeight="1" x14ac:dyDescent="0.3"/>
    <row r="374" ht="14.25" customHeight="1" x14ac:dyDescent="0.3"/>
    <row r="375" ht="14.25" customHeight="1" x14ac:dyDescent="0.3"/>
    <row r="376" ht="14.25" customHeight="1" x14ac:dyDescent="0.3"/>
    <row r="377" ht="14.25" customHeight="1" x14ac:dyDescent="0.3"/>
    <row r="378" ht="14.25" customHeight="1" x14ac:dyDescent="0.3"/>
    <row r="379" ht="14.25" customHeight="1" x14ac:dyDescent="0.3"/>
    <row r="380" ht="14.25" customHeight="1" x14ac:dyDescent="0.3"/>
    <row r="381" ht="14.25" customHeight="1" x14ac:dyDescent="0.3"/>
    <row r="382" ht="14.25" customHeight="1" x14ac:dyDescent="0.3"/>
    <row r="383" ht="14.25" customHeight="1" x14ac:dyDescent="0.3"/>
    <row r="384" ht="14.25" customHeight="1" x14ac:dyDescent="0.3"/>
    <row r="385" ht="14.25" customHeight="1" x14ac:dyDescent="0.3"/>
    <row r="386" ht="14.25" customHeight="1" x14ac:dyDescent="0.3"/>
    <row r="387" ht="14.25" customHeight="1" x14ac:dyDescent="0.3"/>
    <row r="388" ht="14.25" customHeight="1" x14ac:dyDescent="0.3"/>
    <row r="389" ht="14.25" customHeight="1" x14ac:dyDescent="0.3"/>
    <row r="390" ht="14.25" customHeight="1" x14ac:dyDescent="0.3"/>
    <row r="391" ht="14.25" customHeight="1" x14ac:dyDescent="0.3"/>
    <row r="392" ht="14.25" customHeight="1" x14ac:dyDescent="0.3"/>
    <row r="393" ht="14.25" customHeight="1" x14ac:dyDescent="0.3"/>
    <row r="394" ht="14.25" customHeight="1" x14ac:dyDescent="0.3"/>
    <row r="395" ht="14.25" customHeight="1" x14ac:dyDescent="0.3"/>
    <row r="396" ht="14.25" customHeight="1" x14ac:dyDescent="0.3"/>
    <row r="397" ht="14.25" customHeight="1" x14ac:dyDescent="0.3"/>
    <row r="398" ht="14.25" customHeight="1" x14ac:dyDescent="0.3"/>
    <row r="399" ht="14.25" customHeight="1" x14ac:dyDescent="0.3"/>
    <row r="400" ht="14.25" customHeight="1" x14ac:dyDescent="0.3"/>
    <row r="401" ht="14.25" customHeight="1" x14ac:dyDescent="0.3"/>
    <row r="402" ht="14.25" customHeight="1" x14ac:dyDescent="0.3"/>
    <row r="403" ht="14.25" customHeight="1" x14ac:dyDescent="0.3"/>
    <row r="404" ht="14.25" customHeight="1" x14ac:dyDescent="0.3"/>
    <row r="405" ht="14.25" customHeight="1" x14ac:dyDescent="0.3"/>
    <row r="406" ht="14.25" customHeight="1" x14ac:dyDescent="0.3"/>
    <row r="407" ht="14.25" customHeight="1" x14ac:dyDescent="0.3"/>
    <row r="408" ht="14.25" customHeight="1" x14ac:dyDescent="0.3"/>
    <row r="409" ht="14.25" customHeight="1" x14ac:dyDescent="0.3"/>
    <row r="410" ht="14.25" customHeight="1" x14ac:dyDescent="0.3"/>
    <row r="411" ht="14.25" customHeight="1" x14ac:dyDescent="0.3"/>
    <row r="412" ht="14.25" customHeight="1" x14ac:dyDescent="0.3"/>
    <row r="413" ht="14.25" customHeight="1" x14ac:dyDescent="0.3"/>
    <row r="414" ht="14.25" customHeight="1" x14ac:dyDescent="0.3"/>
    <row r="415" ht="14.25" customHeight="1" x14ac:dyDescent="0.3"/>
    <row r="416" ht="14.25" customHeight="1" x14ac:dyDescent="0.3"/>
    <row r="417" ht="14.25" customHeight="1" x14ac:dyDescent="0.3"/>
    <row r="418" ht="14.25" customHeight="1" x14ac:dyDescent="0.3"/>
    <row r="419" ht="14.25" customHeight="1" x14ac:dyDescent="0.3"/>
    <row r="420" ht="14.25" customHeight="1" x14ac:dyDescent="0.3"/>
    <row r="421" ht="14.25" customHeight="1" x14ac:dyDescent="0.3"/>
    <row r="422" ht="14.25" customHeight="1" x14ac:dyDescent="0.3"/>
    <row r="423" ht="14.25" customHeight="1" x14ac:dyDescent="0.3"/>
    <row r="424" ht="14.25" customHeight="1" x14ac:dyDescent="0.3"/>
    <row r="425" ht="14.25" customHeight="1" x14ac:dyDescent="0.3"/>
    <row r="426" ht="14.25" customHeight="1" x14ac:dyDescent="0.3"/>
    <row r="427" ht="14.25" customHeight="1" x14ac:dyDescent="0.3"/>
    <row r="428" ht="14.25" customHeight="1" x14ac:dyDescent="0.3"/>
    <row r="429" ht="14.25" customHeight="1" x14ac:dyDescent="0.3"/>
    <row r="430" ht="14.25" customHeight="1" x14ac:dyDescent="0.3"/>
    <row r="431" ht="14.25" customHeight="1" x14ac:dyDescent="0.3"/>
    <row r="432" ht="14.25" customHeight="1" x14ac:dyDescent="0.3"/>
    <row r="433" ht="14.25" customHeight="1" x14ac:dyDescent="0.3"/>
    <row r="434" ht="14.25" customHeight="1" x14ac:dyDescent="0.3"/>
    <row r="435" ht="14.25" customHeight="1" x14ac:dyDescent="0.3"/>
    <row r="436" ht="14.25" customHeight="1" x14ac:dyDescent="0.3"/>
    <row r="437" ht="14.25" customHeight="1" x14ac:dyDescent="0.3"/>
    <row r="438" ht="14.25" customHeight="1" x14ac:dyDescent="0.3"/>
    <row r="439" ht="14.25" customHeight="1" x14ac:dyDescent="0.3"/>
    <row r="440" ht="14.25" customHeight="1" x14ac:dyDescent="0.3"/>
    <row r="441" ht="14.25" customHeight="1" x14ac:dyDescent="0.3"/>
    <row r="442" ht="14.25" customHeight="1" x14ac:dyDescent="0.3"/>
    <row r="443" ht="14.25" customHeight="1" x14ac:dyDescent="0.3"/>
    <row r="444" ht="14.25" customHeight="1" x14ac:dyDescent="0.3"/>
    <row r="445" ht="14.25" customHeight="1" x14ac:dyDescent="0.3"/>
    <row r="446" ht="14.25" customHeight="1" x14ac:dyDescent="0.3"/>
    <row r="447" ht="14.25" customHeight="1" x14ac:dyDescent="0.3"/>
    <row r="448" ht="14.25" customHeight="1" x14ac:dyDescent="0.3"/>
    <row r="449" ht="14.25" customHeight="1" x14ac:dyDescent="0.3"/>
    <row r="450" ht="14.25" customHeight="1" x14ac:dyDescent="0.3"/>
    <row r="451" ht="14.25" customHeight="1" x14ac:dyDescent="0.3"/>
    <row r="452" ht="14.25" customHeight="1" x14ac:dyDescent="0.3"/>
    <row r="453" ht="14.25" customHeight="1" x14ac:dyDescent="0.3"/>
    <row r="454" ht="14.25" customHeight="1" x14ac:dyDescent="0.3"/>
    <row r="455" ht="14.25" customHeight="1" x14ac:dyDescent="0.3"/>
    <row r="456" ht="14.25" customHeight="1" x14ac:dyDescent="0.3"/>
    <row r="457" ht="14.25" customHeight="1" x14ac:dyDescent="0.3"/>
    <row r="458" ht="14.25" customHeight="1" x14ac:dyDescent="0.3"/>
    <row r="459" ht="14.25" customHeight="1" x14ac:dyDescent="0.3"/>
    <row r="460" ht="14.25" customHeight="1" x14ac:dyDescent="0.3"/>
    <row r="461" ht="14.25" customHeight="1" x14ac:dyDescent="0.3"/>
    <row r="462" ht="14.25" customHeight="1" x14ac:dyDescent="0.3"/>
    <row r="463" ht="14.25" customHeight="1" x14ac:dyDescent="0.3"/>
    <row r="464" ht="14.25" customHeight="1" x14ac:dyDescent="0.3"/>
    <row r="465" ht="14.25" customHeight="1" x14ac:dyDescent="0.3"/>
    <row r="466" ht="14.25" customHeight="1" x14ac:dyDescent="0.3"/>
    <row r="467" ht="14.25" customHeight="1" x14ac:dyDescent="0.3"/>
    <row r="468" ht="14.25" customHeight="1" x14ac:dyDescent="0.3"/>
    <row r="469" ht="14.25" customHeight="1" x14ac:dyDescent="0.3"/>
    <row r="470" ht="14.25" customHeight="1" x14ac:dyDescent="0.3"/>
    <row r="471" ht="14.25" customHeight="1" x14ac:dyDescent="0.3"/>
    <row r="472" ht="14.25" customHeight="1" x14ac:dyDescent="0.3"/>
    <row r="473" ht="14.25" customHeight="1" x14ac:dyDescent="0.3"/>
    <row r="474" ht="14.25" customHeight="1" x14ac:dyDescent="0.3"/>
    <row r="475" ht="14.25" customHeight="1" x14ac:dyDescent="0.3"/>
    <row r="476" ht="14.25" customHeight="1" x14ac:dyDescent="0.3"/>
    <row r="477" ht="14.25" customHeight="1" x14ac:dyDescent="0.3"/>
    <row r="478" ht="14.25" customHeight="1" x14ac:dyDescent="0.3"/>
    <row r="479" ht="14.25" customHeight="1" x14ac:dyDescent="0.3"/>
    <row r="480" ht="14.25" customHeight="1" x14ac:dyDescent="0.3"/>
    <row r="481" ht="14.25" customHeight="1" x14ac:dyDescent="0.3"/>
    <row r="482" ht="14.25" customHeight="1" x14ac:dyDescent="0.3"/>
    <row r="483" ht="14.25" customHeight="1" x14ac:dyDescent="0.3"/>
    <row r="484" ht="14.25" customHeight="1" x14ac:dyDescent="0.3"/>
    <row r="485" ht="14.25" customHeight="1" x14ac:dyDescent="0.3"/>
    <row r="486" ht="14.25" customHeight="1" x14ac:dyDescent="0.3"/>
    <row r="487" ht="14.25" customHeight="1" x14ac:dyDescent="0.3"/>
    <row r="488" ht="14.25" customHeight="1" x14ac:dyDescent="0.3"/>
    <row r="489" ht="14.25" customHeight="1" x14ac:dyDescent="0.3"/>
    <row r="490" ht="14.25" customHeight="1" x14ac:dyDescent="0.3"/>
    <row r="491" ht="14.25" customHeight="1" x14ac:dyDescent="0.3"/>
    <row r="492" ht="14.25" customHeight="1" x14ac:dyDescent="0.3"/>
    <row r="493" ht="14.25" customHeight="1" x14ac:dyDescent="0.3"/>
    <row r="494" ht="14.25" customHeight="1" x14ac:dyDescent="0.3"/>
    <row r="495" ht="14.25" customHeight="1" x14ac:dyDescent="0.3"/>
    <row r="496" ht="14.25" customHeight="1" x14ac:dyDescent="0.3"/>
    <row r="497" ht="14.25" customHeight="1" x14ac:dyDescent="0.3"/>
    <row r="498" ht="14.25" customHeight="1" x14ac:dyDescent="0.3"/>
    <row r="499" ht="14.25" customHeight="1" x14ac:dyDescent="0.3"/>
    <row r="500" ht="14.25" customHeight="1" x14ac:dyDescent="0.3"/>
    <row r="501" ht="14.25" customHeight="1" x14ac:dyDescent="0.3"/>
    <row r="502" ht="14.25" customHeight="1" x14ac:dyDescent="0.3"/>
    <row r="503" ht="14.25" customHeight="1" x14ac:dyDescent="0.3"/>
    <row r="504" ht="14.25" customHeight="1" x14ac:dyDescent="0.3"/>
    <row r="505" ht="14.25" customHeight="1" x14ac:dyDescent="0.3"/>
    <row r="506" ht="14.25" customHeight="1" x14ac:dyDescent="0.3"/>
    <row r="507" ht="14.25" customHeight="1" x14ac:dyDescent="0.3"/>
    <row r="508" ht="14.25" customHeight="1" x14ac:dyDescent="0.3"/>
    <row r="509" ht="14.25" customHeight="1" x14ac:dyDescent="0.3"/>
    <row r="510" ht="14.25" customHeight="1" x14ac:dyDescent="0.3"/>
    <row r="511" ht="14.25" customHeight="1" x14ac:dyDescent="0.3"/>
    <row r="512" ht="14.25" customHeight="1" x14ac:dyDescent="0.3"/>
    <row r="513" ht="14.25" customHeight="1" x14ac:dyDescent="0.3"/>
    <row r="514" ht="14.25" customHeight="1" x14ac:dyDescent="0.3"/>
    <row r="515" ht="14.25" customHeight="1" x14ac:dyDescent="0.3"/>
    <row r="516" ht="14.25" customHeight="1" x14ac:dyDescent="0.3"/>
    <row r="517" ht="14.25" customHeight="1" x14ac:dyDescent="0.3"/>
    <row r="518" ht="14.25" customHeight="1" x14ac:dyDescent="0.3"/>
    <row r="519" ht="14.25" customHeight="1" x14ac:dyDescent="0.3"/>
    <row r="520" ht="14.25" customHeight="1" x14ac:dyDescent="0.3"/>
    <row r="521" ht="14.25" customHeight="1" x14ac:dyDescent="0.3"/>
    <row r="522" ht="14.25" customHeight="1" x14ac:dyDescent="0.3"/>
    <row r="523" ht="14.25" customHeight="1" x14ac:dyDescent="0.3"/>
    <row r="524" ht="14.25" customHeight="1" x14ac:dyDescent="0.3"/>
    <row r="525" ht="14.25" customHeight="1" x14ac:dyDescent="0.3"/>
    <row r="526" ht="14.25" customHeight="1" x14ac:dyDescent="0.3"/>
    <row r="527" ht="14.25" customHeight="1" x14ac:dyDescent="0.3"/>
    <row r="528" ht="14.25" customHeight="1" x14ac:dyDescent="0.3"/>
    <row r="529" ht="14.25" customHeight="1" x14ac:dyDescent="0.3"/>
    <row r="530" ht="14.25" customHeight="1" x14ac:dyDescent="0.3"/>
    <row r="531" ht="14.25" customHeight="1" x14ac:dyDescent="0.3"/>
    <row r="532" ht="14.25" customHeight="1" x14ac:dyDescent="0.3"/>
    <row r="533" ht="14.25" customHeight="1" x14ac:dyDescent="0.3"/>
    <row r="534" ht="14.25" customHeight="1" x14ac:dyDescent="0.3"/>
    <row r="535" ht="14.25" customHeight="1" x14ac:dyDescent="0.3"/>
    <row r="536" ht="14.25" customHeight="1" x14ac:dyDescent="0.3"/>
    <row r="537" ht="14.25" customHeight="1" x14ac:dyDescent="0.3"/>
    <row r="538" ht="14.25" customHeight="1" x14ac:dyDescent="0.3"/>
    <row r="539" ht="14.25" customHeight="1" x14ac:dyDescent="0.3"/>
    <row r="540" ht="14.25" customHeight="1" x14ac:dyDescent="0.3"/>
    <row r="541" ht="14.25" customHeight="1" x14ac:dyDescent="0.3"/>
    <row r="542" ht="14.25" customHeight="1" x14ac:dyDescent="0.3"/>
    <row r="543" ht="14.25" customHeight="1" x14ac:dyDescent="0.3"/>
    <row r="544" ht="14.25" customHeight="1" x14ac:dyDescent="0.3"/>
    <row r="545" ht="14.25" customHeight="1" x14ac:dyDescent="0.3"/>
    <row r="546" ht="14.25" customHeight="1" x14ac:dyDescent="0.3"/>
    <row r="547" ht="14.25" customHeight="1" x14ac:dyDescent="0.3"/>
    <row r="548" ht="14.25" customHeight="1" x14ac:dyDescent="0.3"/>
    <row r="549" ht="14.25" customHeight="1" x14ac:dyDescent="0.3"/>
    <row r="550" ht="14.25" customHeight="1" x14ac:dyDescent="0.3"/>
    <row r="551" ht="14.25" customHeight="1" x14ac:dyDescent="0.3"/>
    <row r="552" ht="14.25" customHeight="1" x14ac:dyDescent="0.3"/>
    <row r="553" ht="14.25" customHeight="1" x14ac:dyDescent="0.3"/>
    <row r="554" ht="14.25" customHeight="1" x14ac:dyDescent="0.3"/>
    <row r="555" ht="14.25" customHeight="1" x14ac:dyDescent="0.3"/>
    <row r="556" ht="14.25" customHeight="1" x14ac:dyDescent="0.3"/>
    <row r="557" ht="14.25" customHeight="1" x14ac:dyDescent="0.3"/>
    <row r="558" ht="14.25" customHeight="1" x14ac:dyDescent="0.3"/>
    <row r="559" ht="14.25" customHeight="1" x14ac:dyDescent="0.3"/>
    <row r="560" ht="14.25" customHeight="1" x14ac:dyDescent="0.3"/>
    <row r="561" ht="14.25" customHeight="1" x14ac:dyDescent="0.3"/>
    <row r="562" ht="14.25" customHeight="1" x14ac:dyDescent="0.3"/>
    <row r="563" ht="14.25" customHeight="1" x14ac:dyDescent="0.3"/>
    <row r="564" ht="14.25" customHeight="1" x14ac:dyDescent="0.3"/>
    <row r="565" ht="14.25" customHeight="1" x14ac:dyDescent="0.3"/>
    <row r="566" ht="14.25" customHeight="1" x14ac:dyDescent="0.3"/>
    <row r="567" ht="14.25" customHeight="1" x14ac:dyDescent="0.3"/>
    <row r="568" ht="14.25" customHeight="1" x14ac:dyDescent="0.3"/>
    <row r="569" ht="14.25" customHeight="1" x14ac:dyDescent="0.3"/>
    <row r="570" ht="14.25" customHeight="1" x14ac:dyDescent="0.3"/>
    <row r="571" ht="14.25" customHeight="1" x14ac:dyDescent="0.3"/>
    <row r="572" ht="14.25" customHeight="1" x14ac:dyDescent="0.3"/>
    <row r="573" ht="14.25" customHeight="1" x14ac:dyDescent="0.3"/>
    <row r="574" ht="14.25" customHeight="1" x14ac:dyDescent="0.3"/>
    <row r="575" ht="14.25" customHeight="1" x14ac:dyDescent="0.3"/>
    <row r="576" ht="14.25" customHeight="1" x14ac:dyDescent="0.3"/>
    <row r="577" ht="14.25" customHeight="1" x14ac:dyDescent="0.3"/>
    <row r="578" ht="14.25" customHeight="1" x14ac:dyDescent="0.3"/>
    <row r="579" ht="14.25" customHeight="1" x14ac:dyDescent="0.3"/>
    <row r="580" ht="14.25" customHeight="1" x14ac:dyDescent="0.3"/>
    <row r="581" ht="14.25" customHeight="1" x14ac:dyDescent="0.3"/>
    <row r="582" ht="14.25" customHeight="1" x14ac:dyDescent="0.3"/>
    <row r="583" ht="14.25" customHeight="1" x14ac:dyDescent="0.3"/>
    <row r="584" ht="14.25" customHeight="1" x14ac:dyDescent="0.3"/>
    <row r="585" ht="14.25" customHeight="1" x14ac:dyDescent="0.3"/>
    <row r="586" ht="14.25" customHeight="1" x14ac:dyDescent="0.3"/>
    <row r="587" ht="14.25" customHeight="1" x14ac:dyDescent="0.3"/>
    <row r="588" ht="14.25" customHeight="1" x14ac:dyDescent="0.3"/>
    <row r="589" ht="14.25" customHeight="1" x14ac:dyDescent="0.3"/>
    <row r="590" ht="14.25" customHeight="1" x14ac:dyDescent="0.3"/>
    <row r="591" ht="14.25" customHeight="1" x14ac:dyDescent="0.3"/>
    <row r="592" ht="14.25" customHeight="1" x14ac:dyDescent="0.3"/>
    <row r="593" ht="14.25" customHeight="1" x14ac:dyDescent="0.3"/>
    <row r="594" ht="14.25" customHeight="1" x14ac:dyDescent="0.3"/>
    <row r="595" ht="14.25" customHeight="1" x14ac:dyDescent="0.3"/>
    <row r="596" ht="14.25" customHeight="1" x14ac:dyDescent="0.3"/>
    <row r="597" ht="14.25" customHeight="1" x14ac:dyDescent="0.3"/>
    <row r="598" ht="14.25" customHeight="1" x14ac:dyDescent="0.3"/>
    <row r="599" ht="14.25" customHeight="1" x14ac:dyDescent="0.3"/>
    <row r="600" ht="14.25" customHeight="1" x14ac:dyDescent="0.3"/>
    <row r="601" ht="14.25" customHeight="1" x14ac:dyDescent="0.3"/>
    <row r="602" ht="14.25" customHeight="1" x14ac:dyDescent="0.3"/>
    <row r="603" ht="14.25" customHeight="1" x14ac:dyDescent="0.3"/>
    <row r="604" ht="14.25" customHeight="1" x14ac:dyDescent="0.3"/>
    <row r="605" ht="14.25" customHeight="1" x14ac:dyDescent="0.3"/>
    <row r="606" ht="14.25" customHeight="1" x14ac:dyDescent="0.3"/>
    <row r="607" ht="14.25" customHeight="1" x14ac:dyDescent="0.3"/>
    <row r="608" ht="14.25" customHeight="1" x14ac:dyDescent="0.3"/>
    <row r="609" ht="14.25" customHeight="1" x14ac:dyDescent="0.3"/>
    <row r="610" ht="14.25" customHeight="1" x14ac:dyDescent="0.3"/>
    <row r="611" ht="14.25" customHeight="1" x14ac:dyDescent="0.3"/>
    <row r="612" ht="14.25" customHeight="1" x14ac:dyDescent="0.3"/>
    <row r="613" ht="14.25" customHeight="1" x14ac:dyDescent="0.3"/>
    <row r="614" ht="14.25" customHeight="1" x14ac:dyDescent="0.3"/>
    <row r="615" ht="14.25" customHeight="1" x14ac:dyDescent="0.3"/>
    <row r="616" ht="14.25" customHeight="1" x14ac:dyDescent="0.3"/>
    <row r="617" ht="14.25" customHeight="1" x14ac:dyDescent="0.3"/>
    <row r="618" ht="14.25" customHeight="1" x14ac:dyDescent="0.3"/>
    <row r="619" ht="14.25" customHeight="1" x14ac:dyDescent="0.3"/>
    <row r="620" ht="14.25" customHeight="1" x14ac:dyDescent="0.3"/>
    <row r="621" ht="14.25" customHeight="1" x14ac:dyDescent="0.3"/>
    <row r="622" ht="14.25" customHeight="1" x14ac:dyDescent="0.3"/>
    <row r="623" ht="14.25" customHeight="1" x14ac:dyDescent="0.3"/>
    <row r="624" ht="14.25" customHeight="1" x14ac:dyDescent="0.3"/>
    <row r="625" ht="14.25" customHeight="1" x14ac:dyDescent="0.3"/>
    <row r="626" ht="14.25" customHeight="1" x14ac:dyDescent="0.3"/>
    <row r="627" ht="14.25" customHeight="1" x14ac:dyDescent="0.3"/>
    <row r="628" ht="14.25" customHeight="1" x14ac:dyDescent="0.3"/>
    <row r="629" ht="14.25" customHeight="1" x14ac:dyDescent="0.3"/>
    <row r="630" ht="14.25" customHeight="1" x14ac:dyDescent="0.3"/>
    <row r="631" ht="14.25" customHeight="1" x14ac:dyDescent="0.3"/>
    <row r="632" ht="14.25" customHeight="1" x14ac:dyDescent="0.3"/>
    <row r="633" ht="14.25" customHeight="1" x14ac:dyDescent="0.3"/>
    <row r="634" ht="14.25" customHeight="1" x14ac:dyDescent="0.3"/>
    <row r="635" ht="14.25" customHeight="1" x14ac:dyDescent="0.3"/>
    <row r="636" ht="14.25" customHeight="1" x14ac:dyDescent="0.3"/>
    <row r="637" ht="14.25" customHeight="1" x14ac:dyDescent="0.3"/>
    <row r="638" ht="14.25" customHeight="1" x14ac:dyDescent="0.3"/>
    <row r="639" ht="14.25" customHeight="1" x14ac:dyDescent="0.3"/>
    <row r="640" ht="14.25" customHeight="1" x14ac:dyDescent="0.3"/>
    <row r="641" ht="14.25" customHeight="1" x14ac:dyDescent="0.3"/>
    <row r="642" ht="14.25" customHeight="1" x14ac:dyDescent="0.3"/>
    <row r="643" ht="14.25" customHeight="1" x14ac:dyDescent="0.3"/>
    <row r="644" ht="14.25" customHeight="1" x14ac:dyDescent="0.3"/>
    <row r="645" ht="14.25" customHeight="1" x14ac:dyDescent="0.3"/>
    <row r="646" ht="14.25" customHeight="1" x14ac:dyDescent="0.3"/>
    <row r="647" ht="14.25" customHeight="1" x14ac:dyDescent="0.3"/>
    <row r="648" ht="14.25" customHeight="1" x14ac:dyDescent="0.3"/>
    <row r="649" ht="14.25" customHeight="1" x14ac:dyDescent="0.3"/>
    <row r="650" ht="14.25" customHeight="1" x14ac:dyDescent="0.3"/>
    <row r="651" ht="14.25" customHeight="1" x14ac:dyDescent="0.3"/>
    <row r="652" ht="14.25" customHeight="1" x14ac:dyDescent="0.3"/>
    <row r="653" ht="14.25" customHeight="1" x14ac:dyDescent="0.3"/>
    <row r="654" ht="14.25" customHeight="1" x14ac:dyDescent="0.3"/>
    <row r="655" ht="14.25" customHeight="1" x14ac:dyDescent="0.3"/>
    <row r="656" ht="14.25" customHeight="1" x14ac:dyDescent="0.3"/>
    <row r="657" ht="14.25" customHeight="1" x14ac:dyDescent="0.3"/>
    <row r="658" ht="14.25" customHeight="1" x14ac:dyDescent="0.3"/>
    <row r="659" ht="14.25" customHeight="1" x14ac:dyDescent="0.3"/>
    <row r="660" ht="14.25" customHeight="1" x14ac:dyDescent="0.3"/>
    <row r="661" ht="14.25" customHeight="1" x14ac:dyDescent="0.3"/>
    <row r="662" ht="14.25" customHeight="1" x14ac:dyDescent="0.3"/>
    <row r="663" ht="14.25" customHeight="1" x14ac:dyDescent="0.3"/>
    <row r="664" ht="14.25" customHeight="1" x14ac:dyDescent="0.3"/>
    <row r="665" ht="14.25" customHeight="1" x14ac:dyDescent="0.3"/>
    <row r="666" ht="14.25" customHeight="1" x14ac:dyDescent="0.3"/>
    <row r="667" ht="14.25" customHeight="1" x14ac:dyDescent="0.3"/>
    <row r="668" ht="14.25" customHeight="1" x14ac:dyDescent="0.3"/>
    <row r="669" ht="14.25" customHeight="1" x14ac:dyDescent="0.3"/>
    <row r="670" ht="14.25" customHeight="1" x14ac:dyDescent="0.3"/>
    <row r="671" ht="14.25" customHeight="1" x14ac:dyDescent="0.3"/>
    <row r="672" ht="14.25" customHeight="1" x14ac:dyDescent="0.3"/>
    <row r="673" ht="14.25" customHeight="1" x14ac:dyDescent="0.3"/>
    <row r="674" ht="14.25" customHeight="1" x14ac:dyDescent="0.3"/>
    <row r="675" ht="14.25" customHeight="1" x14ac:dyDescent="0.3"/>
    <row r="676" ht="14.25" customHeight="1" x14ac:dyDescent="0.3"/>
    <row r="677" ht="14.25" customHeight="1" x14ac:dyDescent="0.3"/>
    <row r="678" ht="14.25" customHeight="1" x14ac:dyDescent="0.3"/>
    <row r="679" ht="14.25" customHeight="1" x14ac:dyDescent="0.3"/>
    <row r="680" ht="14.25" customHeight="1" x14ac:dyDescent="0.3"/>
    <row r="681" ht="14.25" customHeight="1" x14ac:dyDescent="0.3"/>
    <row r="682" ht="14.25" customHeight="1" x14ac:dyDescent="0.3"/>
    <row r="683" ht="14.25" customHeight="1" x14ac:dyDescent="0.3"/>
    <row r="684" ht="14.25" customHeight="1" x14ac:dyDescent="0.3"/>
    <row r="685" ht="14.25" customHeight="1" x14ac:dyDescent="0.3"/>
    <row r="686" ht="14.25" customHeight="1" x14ac:dyDescent="0.3"/>
    <row r="687" ht="14.25" customHeight="1" x14ac:dyDescent="0.3"/>
    <row r="688" ht="14.25" customHeight="1" x14ac:dyDescent="0.3"/>
    <row r="689" ht="14.25" customHeight="1" x14ac:dyDescent="0.3"/>
    <row r="690" ht="14.25" customHeight="1" x14ac:dyDescent="0.3"/>
    <row r="691" ht="14.25" customHeight="1" x14ac:dyDescent="0.3"/>
    <row r="692" ht="14.25" customHeight="1" x14ac:dyDescent="0.3"/>
    <row r="693" ht="14.25" customHeight="1" x14ac:dyDescent="0.3"/>
    <row r="694" ht="14.25" customHeight="1" x14ac:dyDescent="0.3"/>
    <row r="695" ht="14.25" customHeight="1" x14ac:dyDescent="0.3"/>
    <row r="696" ht="14.25" customHeight="1" x14ac:dyDescent="0.3"/>
    <row r="697" ht="14.25" customHeight="1" x14ac:dyDescent="0.3"/>
    <row r="698" ht="14.25" customHeight="1" x14ac:dyDescent="0.3"/>
    <row r="699" ht="14.25" customHeight="1" x14ac:dyDescent="0.3"/>
    <row r="700" ht="14.25" customHeight="1" x14ac:dyDescent="0.3"/>
    <row r="701" ht="14.25" customHeight="1" x14ac:dyDescent="0.3"/>
    <row r="702" ht="14.25" customHeight="1" x14ac:dyDescent="0.3"/>
    <row r="703" ht="14.25" customHeight="1" x14ac:dyDescent="0.3"/>
    <row r="704" ht="14.25" customHeight="1" x14ac:dyDescent="0.3"/>
    <row r="705" ht="14.25" customHeight="1" x14ac:dyDescent="0.3"/>
    <row r="706" ht="14.25" customHeight="1" x14ac:dyDescent="0.3"/>
    <row r="707" ht="14.25" customHeight="1" x14ac:dyDescent="0.3"/>
    <row r="708" ht="14.25" customHeight="1" x14ac:dyDescent="0.3"/>
    <row r="709" ht="14.25" customHeight="1" x14ac:dyDescent="0.3"/>
    <row r="710" ht="14.25" customHeight="1" x14ac:dyDescent="0.3"/>
    <row r="711" ht="14.25" customHeight="1" x14ac:dyDescent="0.3"/>
    <row r="712" ht="14.25" customHeight="1" x14ac:dyDescent="0.3"/>
    <row r="713" ht="14.25" customHeight="1" x14ac:dyDescent="0.3"/>
    <row r="714" ht="14.25" customHeight="1" x14ac:dyDescent="0.3"/>
    <row r="715" ht="14.25" customHeight="1" x14ac:dyDescent="0.3"/>
    <row r="716" ht="14.25" customHeight="1" x14ac:dyDescent="0.3"/>
    <row r="717" ht="14.25" customHeight="1" x14ac:dyDescent="0.3"/>
    <row r="718" ht="14.25" customHeight="1" x14ac:dyDescent="0.3"/>
    <row r="719" ht="14.25" customHeight="1" x14ac:dyDescent="0.3"/>
    <row r="720" ht="14.25" customHeight="1" x14ac:dyDescent="0.3"/>
    <row r="721" ht="14.25" customHeight="1" x14ac:dyDescent="0.3"/>
    <row r="722" ht="14.25" customHeight="1" x14ac:dyDescent="0.3"/>
    <row r="723" ht="14.25" customHeight="1" x14ac:dyDescent="0.3"/>
    <row r="724" ht="14.25" customHeight="1" x14ac:dyDescent="0.3"/>
    <row r="725" ht="14.25" customHeight="1" x14ac:dyDescent="0.3"/>
    <row r="726" ht="14.25" customHeight="1" x14ac:dyDescent="0.3"/>
    <row r="727" ht="14.25" customHeight="1" x14ac:dyDescent="0.3"/>
    <row r="728" ht="14.25" customHeight="1" x14ac:dyDescent="0.3"/>
    <row r="729" ht="14.25" customHeight="1" x14ac:dyDescent="0.3"/>
    <row r="730" ht="14.25" customHeight="1" x14ac:dyDescent="0.3"/>
    <row r="731" ht="14.25" customHeight="1" x14ac:dyDescent="0.3"/>
    <row r="732" ht="14.25" customHeight="1" x14ac:dyDescent="0.3"/>
    <row r="733" ht="14.25" customHeight="1" x14ac:dyDescent="0.3"/>
    <row r="734" ht="14.25" customHeight="1" x14ac:dyDescent="0.3"/>
    <row r="735" ht="14.25" customHeight="1" x14ac:dyDescent="0.3"/>
    <row r="736" ht="14.25" customHeight="1" x14ac:dyDescent="0.3"/>
    <row r="737" ht="14.25" customHeight="1" x14ac:dyDescent="0.3"/>
    <row r="738" ht="14.25" customHeight="1" x14ac:dyDescent="0.3"/>
    <row r="739" ht="14.25" customHeight="1" x14ac:dyDescent="0.3"/>
    <row r="740" ht="14.25" customHeight="1" x14ac:dyDescent="0.3"/>
    <row r="741" ht="14.25" customHeight="1" x14ac:dyDescent="0.3"/>
    <row r="742" ht="14.25" customHeight="1" x14ac:dyDescent="0.3"/>
    <row r="743" ht="14.25" customHeight="1" x14ac:dyDescent="0.3"/>
    <row r="744" ht="14.25" customHeight="1" x14ac:dyDescent="0.3"/>
    <row r="745" ht="14.25" customHeight="1" x14ac:dyDescent="0.3"/>
    <row r="746" ht="14.25" customHeight="1" x14ac:dyDescent="0.3"/>
    <row r="747" ht="14.25" customHeight="1" x14ac:dyDescent="0.3"/>
    <row r="748" ht="14.25" customHeight="1" x14ac:dyDescent="0.3"/>
    <row r="749" ht="14.25" customHeight="1" x14ac:dyDescent="0.3"/>
    <row r="750" ht="14.25" customHeight="1" x14ac:dyDescent="0.3"/>
    <row r="751" ht="14.25" customHeight="1" x14ac:dyDescent="0.3"/>
    <row r="752" ht="14.25" customHeight="1" x14ac:dyDescent="0.3"/>
    <row r="753" ht="14.25" customHeight="1" x14ac:dyDescent="0.3"/>
    <row r="754" ht="14.25" customHeight="1" x14ac:dyDescent="0.3"/>
    <row r="755" ht="14.25" customHeight="1" x14ac:dyDescent="0.3"/>
    <row r="756" ht="14.25" customHeight="1" x14ac:dyDescent="0.3"/>
    <row r="757" ht="14.25" customHeight="1" x14ac:dyDescent="0.3"/>
    <row r="758" ht="14.25" customHeight="1" x14ac:dyDescent="0.3"/>
    <row r="759" ht="14.25" customHeight="1" x14ac:dyDescent="0.3"/>
    <row r="760" ht="14.25" customHeight="1" x14ac:dyDescent="0.3"/>
    <row r="761" ht="14.25" customHeight="1" x14ac:dyDescent="0.3"/>
    <row r="762" ht="14.25" customHeight="1" x14ac:dyDescent="0.3"/>
    <row r="763" ht="14.25" customHeight="1" x14ac:dyDescent="0.3"/>
    <row r="764" ht="14.25" customHeight="1" x14ac:dyDescent="0.3"/>
    <row r="765" ht="14.25" customHeight="1" x14ac:dyDescent="0.3"/>
    <row r="766" ht="14.25" customHeight="1" x14ac:dyDescent="0.3"/>
    <row r="767" ht="14.25" customHeight="1" x14ac:dyDescent="0.3"/>
    <row r="768" ht="14.25" customHeight="1" x14ac:dyDescent="0.3"/>
    <row r="769" ht="14.25" customHeight="1" x14ac:dyDescent="0.3"/>
    <row r="770" ht="14.25" customHeight="1" x14ac:dyDescent="0.3"/>
    <row r="771" ht="14.25" customHeight="1" x14ac:dyDescent="0.3"/>
    <row r="772" ht="14.25" customHeight="1" x14ac:dyDescent="0.3"/>
    <row r="773" ht="14.25" customHeight="1" x14ac:dyDescent="0.3"/>
    <row r="774" ht="14.25" customHeight="1" x14ac:dyDescent="0.3"/>
    <row r="775" ht="14.25" customHeight="1" x14ac:dyDescent="0.3"/>
    <row r="776" ht="14.25" customHeight="1" x14ac:dyDescent="0.3"/>
    <row r="777" ht="14.25" customHeight="1" x14ac:dyDescent="0.3"/>
    <row r="778" ht="14.25" customHeight="1" x14ac:dyDescent="0.3"/>
    <row r="779" ht="14.25" customHeight="1" x14ac:dyDescent="0.3"/>
    <row r="780" ht="14.25" customHeight="1" x14ac:dyDescent="0.3"/>
    <row r="781" ht="14.25" customHeight="1" x14ac:dyDescent="0.3"/>
    <row r="782" ht="14.25" customHeight="1" x14ac:dyDescent="0.3"/>
    <row r="783" ht="14.25" customHeight="1" x14ac:dyDescent="0.3"/>
    <row r="784" ht="14.25" customHeight="1" x14ac:dyDescent="0.3"/>
    <row r="785" ht="14.25" customHeight="1" x14ac:dyDescent="0.3"/>
    <row r="786" ht="14.25" customHeight="1" x14ac:dyDescent="0.3"/>
    <row r="787" ht="14.25" customHeight="1" x14ac:dyDescent="0.3"/>
    <row r="788" ht="14.25" customHeight="1" x14ac:dyDescent="0.3"/>
    <row r="789" ht="14.25" customHeight="1" x14ac:dyDescent="0.3"/>
    <row r="790" ht="14.25" customHeight="1" x14ac:dyDescent="0.3"/>
    <row r="791" ht="14.25" customHeight="1" x14ac:dyDescent="0.3"/>
    <row r="792" ht="14.25" customHeight="1" x14ac:dyDescent="0.3"/>
    <row r="793" ht="14.25" customHeight="1" x14ac:dyDescent="0.3"/>
    <row r="794" ht="14.25" customHeight="1" x14ac:dyDescent="0.3"/>
    <row r="795" ht="14.25" customHeight="1" x14ac:dyDescent="0.3"/>
    <row r="796" ht="14.25" customHeight="1" x14ac:dyDescent="0.3"/>
    <row r="797" ht="14.25" customHeight="1" x14ac:dyDescent="0.3"/>
    <row r="798" ht="14.25" customHeight="1" x14ac:dyDescent="0.3"/>
    <row r="799" ht="14.25" customHeight="1" x14ac:dyDescent="0.3"/>
    <row r="800" ht="14.25" customHeight="1" x14ac:dyDescent="0.3"/>
    <row r="801" ht="14.25" customHeight="1" x14ac:dyDescent="0.3"/>
    <row r="802" ht="14.25" customHeight="1" x14ac:dyDescent="0.3"/>
    <row r="803" ht="14.25" customHeight="1" x14ac:dyDescent="0.3"/>
    <row r="804" ht="14.25" customHeight="1" x14ac:dyDescent="0.3"/>
    <row r="805" ht="14.25" customHeight="1" x14ac:dyDescent="0.3"/>
    <row r="806" ht="14.25" customHeight="1" x14ac:dyDescent="0.3"/>
    <row r="807" ht="14.25" customHeight="1" x14ac:dyDescent="0.3"/>
    <row r="808" ht="14.25" customHeight="1" x14ac:dyDescent="0.3"/>
    <row r="809" ht="14.25" customHeight="1" x14ac:dyDescent="0.3"/>
    <row r="810" ht="14.25" customHeight="1" x14ac:dyDescent="0.3"/>
    <row r="811" ht="14.25" customHeight="1" x14ac:dyDescent="0.3"/>
    <row r="812" ht="14.25" customHeight="1" x14ac:dyDescent="0.3"/>
    <row r="813" ht="14.25" customHeight="1" x14ac:dyDescent="0.3"/>
    <row r="814" ht="14.25" customHeight="1" x14ac:dyDescent="0.3"/>
    <row r="815" ht="14.25" customHeight="1" x14ac:dyDescent="0.3"/>
    <row r="816" ht="14.25" customHeight="1" x14ac:dyDescent="0.3"/>
    <row r="817" ht="14.25" customHeight="1" x14ac:dyDescent="0.3"/>
    <row r="818" ht="14.25" customHeight="1" x14ac:dyDescent="0.3"/>
    <row r="819" ht="14.25" customHeight="1" x14ac:dyDescent="0.3"/>
    <row r="820" ht="14.25" customHeight="1" x14ac:dyDescent="0.3"/>
    <row r="821" ht="14.25" customHeight="1" x14ac:dyDescent="0.3"/>
    <row r="822" ht="14.25" customHeight="1" x14ac:dyDescent="0.3"/>
    <row r="823" ht="14.25" customHeight="1" x14ac:dyDescent="0.3"/>
    <row r="824" ht="14.25" customHeight="1" x14ac:dyDescent="0.3"/>
    <row r="825" ht="14.25" customHeight="1" x14ac:dyDescent="0.3"/>
    <row r="826" ht="14.25" customHeight="1" x14ac:dyDescent="0.3"/>
    <row r="827" ht="14.25" customHeight="1" x14ac:dyDescent="0.3"/>
    <row r="828" ht="14.25" customHeight="1" x14ac:dyDescent="0.3"/>
    <row r="829" ht="14.25" customHeight="1" x14ac:dyDescent="0.3"/>
    <row r="830" ht="14.25" customHeight="1" x14ac:dyDescent="0.3"/>
    <row r="831" ht="14.25" customHeight="1" x14ac:dyDescent="0.3"/>
    <row r="832" ht="14.25" customHeight="1" x14ac:dyDescent="0.3"/>
    <row r="833" ht="14.25" customHeight="1" x14ac:dyDescent="0.3"/>
    <row r="834" ht="14.25" customHeight="1" x14ac:dyDescent="0.3"/>
    <row r="835" ht="14.25" customHeight="1" x14ac:dyDescent="0.3"/>
    <row r="836" ht="14.25" customHeight="1" x14ac:dyDescent="0.3"/>
    <row r="837" ht="14.25" customHeight="1" x14ac:dyDescent="0.3"/>
    <row r="838" ht="14.25" customHeight="1" x14ac:dyDescent="0.3"/>
    <row r="839" ht="14.25" customHeight="1" x14ac:dyDescent="0.3"/>
    <row r="840" ht="14.25" customHeight="1" x14ac:dyDescent="0.3"/>
    <row r="841" ht="14.25" customHeight="1" x14ac:dyDescent="0.3"/>
    <row r="842" ht="14.25" customHeight="1" x14ac:dyDescent="0.3"/>
    <row r="843" ht="14.25" customHeight="1" x14ac:dyDescent="0.3"/>
    <row r="844" ht="14.25" customHeight="1" x14ac:dyDescent="0.3"/>
    <row r="845" ht="14.25" customHeight="1" x14ac:dyDescent="0.3"/>
    <row r="846" ht="14.25" customHeight="1" x14ac:dyDescent="0.3"/>
    <row r="847" ht="14.25" customHeight="1" x14ac:dyDescent="0.3"/>
    <row r="848" ht="14.25" customHeight="1" x14ac:dyDescent="0.3"/>
    <row r="849" ht="14.25" customHeight="1" x14ac:dyDescent="0.3"/>
    <row r="850" ht="14.25" customHeight="1" x14ac:dyDescent="0.3"/>
    <row r="851" ht="14.25" customHeight="1" x14ac:dyDescent="0.3"/>
    <row r="852" ht="14.25" customHeight="1" x14ac:dyDescent="0.3"/>
    <row r="853" ht="14.25" customHeight="1" x14ac:dyDescent="0.3"/>
    <row r="854" ht="14.25" customHeight="1" x14ac:dyDescent="0.3"/>
    <row r="855" ht="14.25" customHeight="1" x14ac:dyDescent="0.3"/>
    <row r="856" ht="14.25" customHeight="1" x14ac:dyDescent="0.3"/>
    <row r="857" ht="14.25" customHeight="1" x14ac:dyDescent="0.3"/>
    <row r="858" ht="14.25" customHeight="1" x14ac:dyDescent="0.3"/>
    <row r="859" ht="14.25" customHeight="1" x14ac:dyDescent="0.3"/>
    <row r="860" ht="14.25" customHeight="1" x14ac:dyDescent="0.3"/>
    <row r="861" ht="14.25" customHeight="1" x14ac:dyDescent="0.3"/>
    <row r="862" ht="14.25" customHeight="1" x14ac:dyDescent="0.3"/>
    <row r="863" ht="14.25" customHeight="1" x14ac:dyDescent="0.3"/>
    <row r="864" ht="14.25" customHeight="1" x14ac:dyDescent="0.3"/>
    <row r="865" ht="14.25" customHeight="1" x14ac:dyDescent="0.3"/>
    <row r="866" ht="14.25" customHeight="1" x14ac:dyDescent="0.3"/>
    <row r="867" ht="14.25" customHeight="1" x14ac:dyDescent="0.3"/>
    <row r="868" ht="14.25" customHeight="1" x14ac:dyDescent="0.3"/>
    <row r="869" ht="14.25" customHeight="1" x14ac:dyDescent="0.3"/>
    <row r="870" ht="14.25" customHeight="1" x14ac:dyDescent="0.3"/>
    <row r="871" ht="14.25" customHeight="1" x14ac:dyDescent="0.3"/>
    <row r="872" ht="14.25" customHeight="1" x14ac:dyDescent="0.3"/>
    <row r="873" ht="14.25" customHeight="1" x14ac:dyDescent="0.3"/>
    <row r="874" ht="14.25" customHeight="1" x14ac:dyDescent="0.3"/>
    <row r="875" ht="14.25" customHeight="1" x14ac:dyDescent="0.3"/>
    <row r="876" ht="14.25" customHeight="1" x14ac:dyDescent="0.3"/>
    <row r="877" ht="14.25" customHeight="1" x14ac:dyDescent="0.3"/>
    <row r="878" ht="14.25" customHeight="1" x14ac:dyDescent="0.3"/>
    <row r="879" ht="14.25" customHeight="1" x14ac:dyDescent="0.3"/>
    <row r="880" ht="14.25" customHeight="1" x14ac:dyDescent="0.3"/>
    <row r="881" ht="14.25" customHeight="1" x14ac:dyDescent="0.3"/>
    <row r="882" ht="14.25" customHeight="1" x14ac:dyDescent="0.3"/>
    <row r="883" ht="14.25" customHeight="1" x14ac:dyDescent="0.3"/>
    <row r="884" ht="14.25" customHeight="1" x14ac:dyDescent="0.3"/>
    <row r="885" ht="14.25" customHeight="1" x14ac:dyDescent="0.3"/>
    <row r="886" ht="14.25" customHeight="1" x14ac:dyDescent="0.3"/>
    <row r="887" ht="14.25" customHeight="1" x14ac:dyDescent="0.3"/>
    <row r="888" ht="14.25" customHeight="1" x14ac:dyDescent="0.3"/>
    <row r="889" ht="14.25" customHeight="1" x14ac:dyDescent="0.3"/>
    <row r="890" ht="14.25" customHeight="1" x14ac:dyDescent="0.3"/>
    <row r="891" ht="14.25" customHeight="1" x14ac:dyDescent="0.3"/>
    <row r="892" ht="14.25" customHeight="1" x14ac:dyDescent="0.3"/>
    <row r="893" ht="14.25" customHeight="1" x14ac:dyDescent="0.3"/>
    <row r="894" ht="14.25" customHeight="1" x14ac:dyDescent="0.3"/>
    <row r="895" ht="14.25" customHeight="1" x14ac:dyDescent="0.3"/>
    <row r="896" ht="14.25" customHeight="1" x14ac:dyDescent="0.3"/>
    <row r="897" ht="14.25" customHeight="1" x14ac:dyDescent="0.3"/>
    <row r="898" ht="14.25" customHeight="1" x14ac:dyDescent="0.3"/>
    <row r="899" ht="14.25" customHeight="1" x14ac:dyDescent="0.3"/>
    <row r="900" ht="14.25" customHeight="1" x14ac:dyDescent="0.3"/>
    <row r="901" ht="14.25" customHeight="1" x14ac:dyDescent="0.3"/>
    <row r="902" ht="14.25" customHeight="1" x14ac:dyDescent="0.3"/>
    <row r="903" ht="14.25" customHeight="1" x14ac:dyDescent="0.3"/>
    <row r="904" ht="14.25" customHeight="1" x14ac:dyDescent="0.3"/>
    <row r="905" ht="14.25" customHeight="1" x14ac:dyDescent="0.3"/>
    <row r="906" ht="14.25" customHeight="1" x14ac:dyDescent="0.3"/>
    <row r="907" ht="14.25" customHeight="1" x14ac:dyDescent="0.3"/>
    <row r="908" ht="14.25" customHeight="1" x14ac:dyDescent="0.3"/>
    <row r="909" ht="14.25" customHeight="1" x14ac:dyDescent="0.3"/>
    <row r="910" ht="14.25" customHeight="1" x14ac:dyDescent="0.3"/>
    <row r="911" ht="14.25" customHeight="1" x14ac:dyDescent="0.3"/>
    <row r="912" ht="14.25" customHeight="1" x14ac:dyDescent="0.3"/>
    <row r="913" ht="14.25" customHeight="1" x14ac:dyDescent="0.3"/>
    <row r="914" ht="14.25" customHeight="1" x14ac:dyDescent="0.3"/>
    <row r="915" ht="14.25" customHeight="1" x14ac:dyDescent="0.3"/>
    <row r="916" ht="14.25" customHeight="1" x14ac:dyDescent="0.3"/>
    <row r="917" ht="14.25" customHeight="1" x14ac:dyDescent="0.3"/>
    <row r="918" ht="14.25" customHeight="1" x14ac:dyDescent="0.3"/>
    <row r="919" ht="14.25" customHeight="1" x14ac:dyDescent="0.3"/>
    <row r="920" ht="14.25" customHeight="1" x14ac:dyDescent="0.3"/>
    <row r="921" ht="14.25" customHeight="1" x14ac:dyDescent="0.3"/>
    <row r="922" ht="14.25" customHeight="1" x14ac:dyDescent="0.3"/>
    <row r="923" ht="14.25" customHeight="1" x14ac:dyDescent="0.3"/>
    <row r="924" ht="14.25" customHeight="1" x14ac:dyDescent="0.3"/>
    <row r="925" ht="14.25" customHeight="1" x14ac:dyDescent="0.3"/>
    <row r="926" ht="14.25" customHeight="1" x14ac:dyDescent="0.3"/>
    <row r="927" ht="14.25" customHeight="1" x14ac:dyDescent="0.3"/>
    <row r="928" ht="14.25" customHeight="1" x14ac:dyDescent="0.3"/>
    <row r="929" ht="14.25" customHeight="1" x14ac:dyDescent="0.3"/>
    <row r="930" ht="14.25" customHeight="1" x14ac:dyDescent="0.3"/>
    <row r="931" ht="14.25" customHeight="1" x14ac:dyDescent="0.3"/>
    <row r="932" ht="14.25" customHeight="1" x14ac:dyDescent="0.3"/>
    <row r="933" ht="14.25" customHeight="1" x14ac:dyDescent="0.3"/>
    <row r="934" ht="14.25" customHeight="1" x14ac:dyDescent="0.3"/>
    <row r="935" ht="14.25" customHeight="1" x14ac:dyDescent="0.3"/>
    <row r="936" ht="14.25" customHeight="1" x14ac:dyDescent="0.3"/>
    <row r="937" ht="14.25" customHeight="1" x14ac:dyDescent="0.3"/>
    <row r="938" ht="14.25" customHeight="1" x14ac:dyDescent="0.3"/>
    <row r="939" ht="14.25" customHeight="1" x14ac:dyDescent="0.3"/>
    <row r="940" ht="14.25" customHeight="1" x14ac:dyDescent="0.3"/>
    <row r="941" ht="14.25" customHeight="1" x14ac:dyDescent="0.3"/>
    <row r="942" ht="14.25" customHeight="1" x14ac:dyDescent="0.3"/>
    <row r="943" ht="14.25" customHeight="1" x14ac:dyDescent="0.3"/>
    <row r="944" ht="14.25" customHeight="1" x14ac:dyDescent="0.3"/>
    <row r="945" ht="14.25" customHeight="1" x14ac:dyDescent="0.3"/>
    <row r="946" ht="14.25" customHeight="1" x14ac:dyDescent="0.3"/>
    <row r="947" ht="14.25" customHeight="1" x14ac:dyDescent="0.3"/>
    <row r="948" ht="14.25" customHeight="1" x14ac:dyDescent="0.3"/>
    <row r="949" ht="14.25" customHeight="1" x14ac:dyDescent="0.3"/>
    <row r="950" ht="14.25" customHeight="1" x14ac:dyDescent="0.3"/>
    <row r="951" ht="14.25" customHeight="1" x14ac:dyDescent="0.3"/>
    <row r="952" ht="14.25" customHeight="1" x14ac:dyDescent="0.3"/>
    <row r="953" ht="14.25" customHeight="1" x14ac:dyDescent="0.3"/>
    <row r="954" ht="14.25" customHeight="1" x14ac:dyDescent="0.3"/>
    <row r="955" ht="14.25" customHeight="1" x14ac:dyDescent="0.3"/>
    <row r="956" ht="14.25" customHeight="1" x14ac:dyDescent="0.3"/>
    <row r="957" ht="14.25" customHeight="1" x14ac:dyDescent="0.3"/>
    <row r="958" ht="14.25" customHeight="1" x14ac:dyDescent="0.3"/>
    <row r="959" ht="14.25" customHeight="1" x14ac:dyDescent="0.3"/>
    <row r="960" ht="14.25" customHeight="1" x14ac:dyDescent="0.3"/>
    <row r="961" ht="14.25" customHeight="1" x14ac:dyDescent="0.3"/>
    <row r="962" ht="14.25" customHeight="1" x14ac:dyDescent="0.3"/>
    <row r="963" ht="14.25" customHeight="1" x14ac:dyDescent="0.3"/>
    <row r="964" ht="14.25" customHeight="1" x14ac:dyDescent="0.3"/>
    <row r="965" ht="14.25" customHeight="1" x14ac:dyDescent="0.3"/>
    <row r="966" ht="14.25" customHeight="1" x14ac:dyDescent="0.3"/>
    <row r="967" ht="14.25" customHeight="1" x14ac:dyDescent="0.3"/>
    <row r="968" ht="14.25" customHeight="1" x14ac:dyDescent="0.3"/>
    <row r="969" ht="14.25" customHeight="1" x14ac:dyDescent="0.3"/>
    <row r="970" ht="14.25" customHeight="1" x14ac:dyDescent="0.3"/>
    <row r="971" ht="14.25" customHeight="1" x14ac:dyDescent="0.3"/>
    <row r="972" ht="14.25" customHeight="1" x14ac:dyDescent="0.3"/>
    <row r="973" ht="14.25" customHeight="1" x14ac:dyDescent="0.3"/>
    <row r="974" ht="14.25" customHeight="1" x14ac:dyDescent="0.3"/>
    <row r="975" ht="14.25" customHeight="1" x14ac:dyDescent="0.3"/>
    <row r="976" ht="14.25" customHeight="1" x14ac:dyDescent="0.3"/>
    <row r="977" ht="14.25" customHeight="1" x14ac:dyDescent="0.3"/>
    <row r="978" ht="14.25" customHeight="1" x14ac:dyDescent="0.3"/>
    <row r="979" ht="14.25" customHeight="1" x14ac:dyDescent="0.3"/>
    <row r="980" ht="14.25" customHeight="1" x14ac:dyDescent="0.3"/>
    <row r="981" ht="14.25" customHeight="1" x14ac:dyDescent="0.3"/>
    <row r="982" ht="14.25" customHeight="1" x14ac:dyDescent="0.3"/>
    <row r="983" ht="14.25" customHeight="1" x14ac:dyDescent="0.3"/>
    <row r="984" ht="14.25" customHeight="1" x14ac:dyDescent="0.3"/>
    <row r="985" ht="14.25" customHeight="1" x14ac:dyDescent="0.3"/>
    <row r="986" ht="14.25" customHeight="1" x14ac:dyDescent="0.3"/>
    <row r="987" ht="14.25" customHeight="1" x14ac:dyDescent="0.3"/>
    <row r="988" ht="14.25" customHeight="1" x14ac:dyDescent="0.3"/>
    <row r="989" ht="14.25" customHeight="1" x14ac:dyDescent="0.3"/>
    <row r="990" ht="14.25" customHeight="1" x14ac:dyDescent="0.3"/>
    <row r="991" ht="14.25" customHeight="1" x14ac:dyDescent="0.3"/>
    <row r="992" ht="14.25" customHeight="1" x14ac:dyDescent="0.3"/>
    <row r="993" ht="14.25" customHeight="1" x14ac:dyDescent="0.3"/>
    <row r="994" ht="14.25" customHeight="1" x14ac:dyDescent="0.3"/>
    <row r="995" ht="14.25" customHeight="1" x14ac:dyDescent="0.3"/>
    <row r="996" ht="14.25" customHeight="1" x14ac:dyDescent="0.3"/>
    <row r="997" ht="14.25" customHeight="1" x14ac:dyDescent="0.3"/>
    <row r="998" ht="14.25" customHeight="1" x14ac:dyDescent="0.3"/>
    <row r="999" ht="14.25" customHeight="1" x14ac:dyDescent="0.3"/>
    <row r="1000" ht="14.25" customHeight="1" x14ac:dyDescent="0.3"/>
    <row r="1001" ht="14.25" customHeight="1" x14ac:dyDescent="0.3"/>
  </sheetData>
  <pageMargins left="0.7" right="0.7" top="0.75" bottom="0.75" header="0" footer="0"/>
  <pageSetup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C1003"/>
  <sheetViews>
    <sheetView zoomScale="71" workbookViewId="0">
      <selection activeCell="E24" sqref="E24"/>
    </sheetView>
  </sheetViews>
  <sheetFormatPr defaultColWidth="14.44140625" defaultRowHeight="15" customHeight="1" x14ac:dyDescent="0.3"/>
  <cols>
    <col min="1" max="1" width="8.6640625" customWidth="1"/>
    <col min="2" max="2" width="14.5546875" bestFit="1" customWidth="1"/>
    <col min="3" max="3" width="16.33203125" customWidth="1"/>
    <col min="4" max="26" width="8.6640625" customWidth="1"/>
  </cols>
  <sheetData>
    <row r="1" spans="2:3" ht="14.25" customHeight="1" x14ac:dyDescent="0.3"/>
    <row r="2" spans="2:3" ht="14.25" customHeight="1" x14ac:dyDescent="0.3">
      <c r="B2" s="1" t="s">
        <v>0</v>
      </c>
      <c r="C2" s="1" t="s">
        <v>1</v>
      </c>
    </row>
    <row r="3" spans="2:3" ht="14.25" customHeight="1" x14ac:dyDescent="0.3">
      <c r="B3" s="1" t="s">
        <v>50</v>
      </c>
      <c r="C3" s="2">
        <f>SUM(Sheet1!C2)</f>
        <v>237.48</v>
      </c>
    </row>
    <row r="4" spans="2:3" ht="14.25" customHeight="1" x14ac:dyDescent="0.3">
      <c r="B4" s="2" t="s">
        <v>51</v>
      </c>
      <c r="C4" s="2">
        <f>SUM(Sheet1!C3)</f>
        <v>158.25</v>
      </c>
    </row>
    <row r="5" spans="2:3" ht="14.25" customHeight="1" x14ac:dyDescent="0.3">
      <c r="B5" s="2" t="s">
        <v>6</v>
      </c>
      <c r="C5" s="2">
        <f>(Sheet1!C4)</f>
        <v>135</v>
      </c>
    </row>
    <row r="6" spans="2:3" ht="14.25" customHeight="1" x14ac:dyDescent="0.3">
      <c r="B6" s="2" t="s">
        <v>45</v>
      </c>
      <c r="C6" s="2">
        <f>(Sheet1!C5)</f>
        <v>150</v>
      </c>
    </row>
    <row r="7" spans="2:3" ht="14.25" customHeight="1" x14ac:dyDescent="0.3">
      <c r="B7" s="2" t="s">
        <v>6</v>
      </c>
      <c r="C7" s="2">
        <f>(Sheet1!C6)</f>
        <v>205</v>
      </c>
    </row>
    <row r="8" spans="2:3" ht="14.25" customHeight="1" x14ac:dyDescent="0.3">
      <c r="B8" s="2" t="s">
        <v>14</v>
      </c>
      <c r="C8" s="2">
        <f>(Sheet1!C7)</f>
        <v>0</v>
      </c>
    </row>
    <row r="9" spans="2:3" ht="14.25" customHeight="1" x14ac:dyDescent="0.3">
      <c r="B9" s="2" t="s">
        <v>8</v>
      </c>
      <c r="C9" s="2">
        <f>(Sheet1!C8)</f>
        <v>103.5</v>
      </c>
    </row>
    <row r="10" spans="2:3" ht="14.25" customHeight="1" x14ac:dyDescent="0.3">
      <c r="B10" s="2" t="s">
        <v>10</v>
      </c>
      <c r="C10" s="2">
        <f>(Sheet1!C9)</f>
        <v>15</v>
      </c>
    </row>
    <row r="11" spans="2:3" ht="14.25" customHeight="1" x14ac:dyDescent="0.3">
      <c r="B11" s="2" t="s">
        <v>16</v>
      </c>
      <c r="C11" s="2">
        <f>(Sheet1!C10)</f>
        <v>360</v>
      </c>
    </row>
    <row r="12" spans="2:3" ht="14.25" customHeight="1" x14ac:dyDescent="0.3">
      <c r="B12" s="2" t="s">
        <v>48</v>
      </c>
      <c r="C12" s="2">
        <f>(Sheet1!C12)</f>
        <v>54</v>
      </c>
    </row>
    <row r="13" spans="2:3" ht="14.25" customHeight="1" x14ac:dyDescent="0.3">
      <c r="B13" s="2" t="s">
        <v>49</v>
      </c>
      <c r="C13" s="2">
        <f>Sheet1!C13</f>
        <v>97.5</v>
      </c>
    </row>
    <row r="14" spans="2:3" ht="14.4" x14ac:dyDescent="0.3">
      <c r="B14" s="2" t="s">
        <v>19</v>
      </c>
      <c r="C14" s="29">
        <f>Sheet1!C14</f>
        <v>95</v>
      </c>
    </row>
    <row r="15" spans="2:3" ht="14.25" customHeight="1" x14ac:dyDescent="0.3">
      <c r="B15" s="2" t="s">
        <v>43</v>
      </c>
      <c r="C15">
        <f>Sheet1!C15</f>
        <v>203</v>
      </c>
    </row>
    <row r="16" spans="2:3" ht="14.25" customHeight="1" x14ac:dyDescent="0.3">
      <c r="B16" s="35" t="s">
        <v>42</v>
      </c>
      <c r="C16">
        <f>Sheet1!C16</f>
        <v>405</v>
      </c>
    </row>
    <row r="17" spans="2:3" ht="14.25" customHeight="1" x14ac:dyDescent="0.3">
      <c r="B17" s="25" t="s">
        <v>40</v>
      </c>
    </row>
    <row r="18" spans="2:3" ht="14.25" customHeight="1" x14ac:dyDescent="0.3">
      <c r="B18" s="28"/>
      <c r="C18" s="13">
        <f>SUM(C3:C15)</f>
        <v>1813.73</v>
      </c>
    </row>
    <row r="19" spans="2:3" ht="14.25" customHeight="1" x14ac:dyDescent="0.3"/>
    <row r="20" spans="2:3" ht="14.25" customHeight="1" x14ac:dyDescent="0.3"/>
    <row r="21" spans="2:3" ht="14.25" customHeight="1" x14ac:dyDescent="0.3"/>
    <row r="22" spans="2:3" ht="14.25" customHeight="1" x14ac:dyDescent="0.3"/>
    <row r="23" spans="2:3" ht="14.25" customHeight="1" x14ac:dyDescent="0.3"/>
    <row r="24" spans="2:3" ht="14.25" customHeight="1" x14ac:dyDescent="0.3"/>
    <row r="25" spans="2:3" ht="14.25" customHeight="1" x14ac:dyDescent="0.3"/>
    <row r="26" spans="2:3" ht="14.25" customHeight="1" x14ac:dyDescent="0.3"/>
    <row r="27" spans="2:3" ht="14.25" customHeight="1" x14ac:dyDescent="0.3"/>
    <row r="28" spans="2:3" ht="14.25" customHeight="1" x14ac:dyDescent="0.3"/>
    <row r="29" spans="2:3" ht="14.25" customHeight="1" x14ac:dyDescent="0.3"/>
    <row r="30" spans="2:3" ht="14.25" customHeight="1" x14ac:dyDescent="0.3"/>
    <row r="31" spans="2:3" ht="14.25" customHeight="1" x14ac:dyDescent="0.3"/>
    <row r="32" spans="2:3" ht="14.25" customHeight="1" x14ac:dyDescent="0.3"/>
    <row r="33" ht="14.25" customHeight="1" x14ac:dyDescent="0.3"/>
    <row r="34" ht="14.25" customHeight="1" x14ac:dyDescent="0.3"/>
    <row r="35" ht="14.25" customHeight="1" x14ac:dyDescent="0.3"/>
    <row r="36" ht="14.25" customHeight="1" x14ac:dyDescent="0.3"/>
    <row r="37" ht="14.25" customHeight="1" x14ac:dyDescent="0.3"/>
    <row r="38" ht="14.25" customHeight="1" x14ac:dyDescent="0.3"/>
    <row r="39" ht="14.25" customHeight="1" x14ac:dyDescent="0.3"/>
    <row r="40" ht="14.25" customHeight="1" x14ac:dyDescent="0.3"/>
    <row r="41" ht="14.25" customHeight="1" x14ac:dyDescent="0.3"/>
    <row r="42" ht="14.25" customHeight="1" x14ac:dyDescent="0.3"/>
    <row r="43" ht="14.25" customHeight="1" x14ac:dyDescent="0.3"/>
    <row r="44" ht="14.25" customHeight="1" x14ac:dyDescent="0.3"/>
    <row r="45" ht="14.25" customHeight="1" x14ac:dyDescent="0.3"/>
    <row r="46" ht="14.25" customHeight="1" x14ac:dyDescent="0.3"/>
    <row r="47" ht="14.25" customHeight="1" x14ac:dyDescent="0.3"/>
    <row r="48" ht="14.25" customHeight="1" x14ac:dyDescent="0.3"/>
    <row r="49" ht="14.25" customHeight="1" x14ac:dyDescent="0.3"/>
    <row r="50" ht="14.25" customHeight="1" x14ac:dyDescent="0.3"/>
    <row r="51" ht="14.25" customHeight="1" x14ac:dyDescent="0.3"/>
    <row r="52" ht="14.25" customHeight="1" x14ac:dyDescent="0.3"/>
    <row r="53" ht="14.25" customHeight="1" x14ac:dyDescent="0.3"/>
    <row r="54" ht="14.25" customHeight="1" x14ac:dyDescent="0.3"/>
    <row r="55" ht="14.25" customHeight="1" x14ac:dyDescent="0.3"/>
    <row r="56" ht="14.25" customHeight="1" x14ac:dyDescent="0.3"/>
    <row r="57" ht="14.25" customHeight="1" x14ac:dyDescent="0.3"/>
    <row r="58" ht="14.25" customHeight="1" x14ac:dyDescent="0.3"/>
    <row r="59" ht="14.25" customHeight="1" x14ac:dyDescent="0.3"/>
    <row r="60" ht="14.25" customHeight="1" x14ac:dyDescent="0.3"/>
    <row r="61" ht="14.25" customHeight="1" x14ac:dyDescent="0.3"/>
    <row r="62" ht="14.25" customHeight="1" x14ac:dyDescent="0.3"/>
    <row r="63" ht="14.25" customHeight="1" x14ac:dyDescent="0.3"/>
    <row r="64" ht="14.25" customHeight="1" x14ac:dyDescent="0.3"/>
    <row r="65" ht="14.25" customHeight="1" x14ac:dyDescent="0.3"/>
    <row r="66" ht="14.25" customHeight="1" x14ac:dyDescent="0.3"/>
    <row r="67" ht="14.25" customHeight="1" x14ac:dyDescent="0.3"/>
    <row r="68" ht="14.25" customHeight="1" x14ac:dyDescent="0.3"/>
    <row r="69" ht="14.25" customHeight="1" x14ac:dyDescent="0.3"/>
    <row r="70" ht="14.25" customHeight="1" x14ac:dyDescent="0.3"/>
    <row r="71" ht="14.25" customHeight="1" x14ac:dyDescent="0.3"/>
    <row r="72" ht="14.25" customHeight="1" x14ac:dyDescent="0.3"/>
    <row r="73" ht="14.25" customHeight="1" x14ac:dyDescent="0.3"/>
    <row r="74" ht="14.25" customHeight="1" x14ac:dyDescent="0.3"/>
    <row r="75" ht="14.25" customHeight="1" x14ac:dyDescent="0.3"/>
    <row r="76" ht="14.25" customHeight="1" x14ac:dyDescent="0.3"/>
    <row r="77" ht="14.25" customHeight="1" x14ac:dyDescent="0.3"/>
    <row r="78" ht="14.25" customHeight="1" x14ac:dyDescent="0.3"/>
    <row r="79" ht="14.25" customHeight="1" x14ac:dyDescent="0.3"/>
    <row r="80" ht="14.25" customHeight="1" x14ac:dyDescent="0.3"/>
    <row r="81" ht="14.25" customHeight="1" x14ac:dyDescent="0.3"/>
    <row r="82" ht="14.25" customHeight="1" x14ac:dyDescent="0.3"/>
    <row r="83" ht="14.25" customHeight="1" x14ac:dyDescent="0.3"/>
    <row r="84" ht="14.25" customHeight="1" x14ac:dyDescent="0.3"/>
    <row r="85" ht="14.25" customHeight="1" x14ac:dyDescent="0.3"/>
    <row r="86" ht="14.25" customHeight="1" x14ac:dyDescent="0.3"/>
    <row r="87" ht="14.25" customHeight="1" x14ac:dyDescent="0.3"/>
    <row r="88" ht="14.25" customHeight="1" x14ac:dyDescent="0.3"/>
    <row r="89" ht="14.25" customHeight="1" x14ac:dyDescent="0.3"/>
    <row r="90" ht="14.25" customHeight="1" x14ac:dyDescent="0.3"/>
    <row r="91" ht="14.25" customHeight="1" x14ac:dyDescent="0.3"/>
    <row r="92" ht="14.25" customHeight="1" x14ac:dyDescent="0.3"/>
    <row r="93" ht="14.25" customHeight="1" x14ac:dyDescent="0.3"/>
    <row r="94" ht="14.25" customHeight="1" x14ac:dyDescent="0.3"/>
    <row r="95" ht="14.25" customHeight="1" x14ac:dyDescent="0.3"/>
    <row r="96" ht="14.25" customHeight="1" x14ac:dyDescent="0.3"/>
    <row r="97" ht="14.25" customHeight="1" x14ac:dyDescent="0.3"/>
    <row r="98" ht="14.25" customHeight="1" x14ac:dyDescent="0.3"/>
    <row r="99" ht="14.25" customHeight="1" x14ac:dyDescent="0.3"/>
    <row r="100" ht="14.25" customHeight="1" x14ac:dyDescent="0.3"/>
    <row r="101" ht="14.25" customHeight="1" x14ac:dyDescent="0.3"/>
    <row r="102" ht="14.25" customHeight="1" x14ac:dyDescent="0.3"/>
    <row r="103" ht="14.25" customHeight="1" x14ac:dyDescent="0.3"/>
    <row r="104" ht="14.25" customHeight="1" x14ac:dyDescent="0.3"/>
    <row r="105" ht="14.25" customHeight="1" x14ac:dyDescent="0.3"/>
    <row r="106" ht="14.25" customHeight="1" x14ac:dyDescent="0.3"/>
    <row r="107" ht="14.25" customHeight="1" x14ac:dyDescent="0.3"/>
    <row r="108" ht="14.25" customHeight="1" x14ac:dyDescent="0.3"/>
    <row r="109" ht="14.25" customHeight="1" x14ac:dyDescent="0.3"/>
    <row r="110" ht="14.25" customHeight="1" x14ac:dyDescent="0.3"/>
    <row r="111" ht="14.25" customHeight="1" x14ac:dyDescent="0.3"/>
    <row r="112" ht="14.25" customHeight="1" x14ac:dyDescent="0.3"/>
    <row r="113" ht="14.25" customHeight="1" x14ac:dyDescent="0.3"/>
    <row r="114" ht="14.25" customHeight="1" x14ac:dyDescent="0.3"/>
    <row r="115" ht="14.25" customHeight="1" x14ac:dyDescent="0.3"/>
    <row r="116" ht="14.25" customHeight="1" x14ac:dyDescent="0.3"/>
    <row r="117" ht="14.25" customHeight="1" x14ac:dyDescent="0.3"/>
    <row r="118" ht="14.25" customHeight="1" x14ac:dyDescent="0.3"/>
    <row r="119" ht="14.25" customHeight="1" x14ac:dyDescent="0.3"/>
    <row r="120" ht="14.25" customHeight="1" x14ac:dyDescent="0.3"/>
    <row r="121" ht="14.25" customHeight="1" x14ac:dyDescent="0.3"/>
    <row r="122" ht="14.25" customHeight="1" x14ac:dyDescent="0.3"/>
    <row r="123" ht="14.25" customHeight="1" x14ac:dyDescent="0.3"/>
    <row r="124" ht="14.25" customHeight="1" x14ac:dyDescent="0.3"/>
    <row r="125" ht="14.25" customHeight="1" x14ac:dyDescent="0.3"/>
    <row r="126" ht="14.25" customHeight="1" x14ac:dyDescent="0.3"/>
    <row r="127" ht="14.25" customHeight="1" x14ac:dyDescent="0.3"/>
    <row r="128" ht="14.25" customHeight="1" x14ac:dyDescent="0.3"/>
    <row r="129" ht="14.25" customHeight="1" x14ac:dyDescent="0.3"/>
    <row r="130" ht="14.25" customHeight="1" x14ac:dyDescent="0.3"/>
    <row r="131" ht="14.25" customHeight="1" x14ac:dyDescent="0.3"/>
    <row r="132" ht="14.25" customHeight="1" x14ac:dyDescent="0.3"/>
    <row r="133" ht="14.25" customHeight="1" x14ac:dyDescent="0.3"/>
    <row r="134" ht="14.25" customHeight="1" x14ac:dyDescent="0.3"/>
    <row r="135" ht="14.25" customHeight="1" x14ac:dyDescent="0.3"/>
    <row r="136" ht="14.25" customHeight="1" x14ac:dyDescent="0.3"/>
    <row r="137" ht="14.25" customHeight="1" x14ac:dyDescent="0.3"/>
    <row r="138" ht="14.25" customHeight="1" x14ac:dyDescent="0.3"/>
    <row r="139" ht="14.25" customHeight="1" x14ac:dyDescent="0.3"/>
    <row r="140" ht="14.25" customHeight="1" x14ac:dyDescent="0.3"/>
    <row r="141" ht="14.25" customHeight="1" x14ac:dyDescent="0.3"/>
    <row r="142" ht="14.25" customHeight="1" x14ac:dyDescent="0.3"/>
    <row r="143" ht="14.25" customHeight="1" x14ac:dyDescent="0.3"/>
    <row r="144" ht="14.25" customHeight="1" x14ac:dyDescent="0.3"/>
    <row r="145" ht="14.25" customHeight="1" x14ac:dyDescent="0.3"/>
    <row r="146" ht="14.25" customHeight="1" x14ac:dyDescent="0.3"/>
    <row r="147" ht="14.25" customHeight="1" x14ac:dyDescent="0.3"/>
    <row r="148" ht="14.25" customHeight="1" x14ac:dyDescent="0.3"/>
    <row r="149" ht="14.25" customHeight="1" x14ac:dyDescent="0.3"/>
    <row r="150" ht="14.25" customHeight="1" x14ac:dyDescent="0.3"/>
    <row r="151" ht="14.25" customHeight="1" x14ac:dyDescent="0.3"/>
    <row r="152" ht="14.25" customHeight="1" x14ac:dyDescent="0.3"/>
    <row r="153" ht="14.25" customHeight="1" x14ac:dyDescent="0.3"/>
    <row r="154" ht="14.25" customHeight="1" x14ac:dyDescent="0.3"/>
    <row r="155" ht="14.25" customHeight="1" x14ac:dyDescent="0.3"/>
    <row r="156" ht="14.25" customHeight="1" x14ac:dyDescent="0.3"/>
    <row r="157" ht="14.25" customHeight="1" x14ac:dyDescent="0.3"/>
    <row r="158" ht="14.25" customHeight="1" x14ac:dyDescent="0.3"/>
    <row r="159" ht="14.25" customHeight="1" x14ac:dyDescent="0.3"/>
    <row r="160" ht="14.25" customHeight="1" x14ac:dyDescent="0.3"/>
    <row r="161" ht="14.25" customHeight="1" x14ac:dyDescent="0.3"/>
    <row r="162" ht="14.25" customHeight="1" x14ac:dyDescent="0.3"/>
    <row r="163" ht="14.25" customHeight="1" x14ac:dyDescent="0.3"/>
    <row r="164" ht="14.25" customHeight="1" x14ac:dyDescent="0.3"/>
    <row r="165" ht="14.25" customHeight="1" x14ac:dyDescent="0.3"/>
    <row r="166" ht="14.25" customHeight="1" x14ac:dyDescent="0.3"/>
    <row r="167" ht="14.25" customHeight="1" x14ac:dyDescent="0.3"/>
    <row r="168" ht="14.25" customHeight="1" x14ac:dyDescent="0.3"/>
    <row r="169" ht="14.25" customHeight="1" x14ac:dyDescent="0.3"/>
    <row r="170" ht="14.25" customHeight="1" x14ac:dyDescent="0.3"/>
    <row r="171" ht="14.25" customHeight="1" x14ac:dyDescent="0.3"/>
    <row r="172" ht="14.25" customHeight="1" x14ac:dyDescent="0.3"/>
    <row r="173" ht="14.25" customHeight="1" x14ac:dyDescent="0.3"/>
    <row r="174" ht="14.25" customHeight="1" x14ac:dyDescent="0.3"/>
    <row r="175" ht="14.25" customHeight="1" x14ac:dyDescent="0.3"/>
    <row r="176" ht="14.25" customHeight="1" x14ac:dyDescent="0.3"/>
    <row r="177" ht="14.25" customHeight="1" x14ac:dyDescent="0.3"/>
    <row r="178" ht="14.25" customHeight="1" x14ac:dyDescent="0.3"/>
    <row r="179" ht="14.25" customHeight="1" x14ac:dyDescent="0.3"/>
    <row r="180" ht="14.25" customHeight="1" x14ac:dyDescent="0.3"/>
    <row r="181" ht="14.25" customHeight="1" x14ac:dyDescent="0.3"/>
    <row r="182" ht="14.25" customHeight="1" x14ac:dyDescent="0.3"/>
    <row r="183" ht="14.25" customHeight="1" x14ac:dyDescent="0.3"/>
    <row r="184" ht="14.25" customHeight="1" x14ac:dyDescent="0.3"/>
    <row r="185" ht="14.25" customHeight="1" x14ac:dyDescent="0.3"/>
    <row r="186" ht="14.25" customHeight="1" x14ac:dyDescent="0.3"/>
    <row r="187" ht="14.25" customHeight="1" x14ac:dyDescent="0.3"/>
    <row r="188" ht="14.25" customHeight="1" x14ac:dyDescent="0.3"/>
    <row r="189" ht="14.25" customHeight="1" x14ac:dyDescent="0.3"/>
    <row r="190" ht="14.25" customHeight="1" x14ac:dyDescent="0.3"/>
    <row r="191" ht="14.25" customHeight="1" x14ac:dyDescent="0.3"/>
    <row r="192" ht="14.25" customHeight="1" x14ac:dyDescent="0.3"/>
    <row r="193" ht="14.25" customHeight="1" x14ac:dyDescent="0.3"/>
    <row r="194" ht="14.25" customHeight="1" x14ac:dyDescent="0.3"/>
    <row r="195" ht="14.25" customHeight="1" x14ac:dyDescent="0.3"/>
    <row r="196" ht="14.25" customHeight="1" x14ac:dyDescent="0.3"/>
    <row r="197" ht="14.25" customHeight="1" x14ac:dyDescent="0.3"/>
    <row r="198" ht="14.25" customHeight="1" x14ac:dyDescent="0.3"/>
    <row r="199" ht="14.25" customHeight="1" x14ac:dyDescent="0.3"/>
    <row r="200" ht="14.25" customHeight="1" x14ac:dyDescent="0.3"/>
    <row r="201" ht="14.25" customHeight="1" x14ac:dyDescent="0.3"/>
    <row r="202" ht="14.25" customHeight="1" x14ac:dyDescent="0.3"/>
    <row r="203" ht="14.25" customHeight="1" x14ac:dyDescent="0.3"/>
    <row r="204" ht="14.25" customHeight="1" x14ac:dyDescent="0.3"/>
    <row r="205" ht="14.25" customHeight="1" x14ac:dyDescent="0.3"/>
    <row r="206" ht="14.25" customHeight="1" x14ac:dyDescent="0.3"/>
    <row r="207" ht="14.25" customHeight="1" x14ac:dyDescent="0.3"/>
    <row r="208" ht="14.25" customHeight="1" x14ac:dyDescent="0.3"/>
    <row r="209" ht="14.25" customHeight="1" x14ac:dyDescent="0.3"/>
    <row r="210" ht="14.25" customHeight="1" x14ac:dyDescent="0.3"/>
    <row r="211" ht="14.25" customHeight="1" x14ac:dyDescent="0.3"/>
    <row r="212" ht="14.25" customHeight="1" x14ac:dyDescent="0.3"/>
    <row r="213" ht="14.25" customHeight="1" x14ac:dyDescent="0.3"/>
    <row r="214" ht="14.25" customHeight="1" x14ac:dyDescent="0.3"/>
    <row r="215" ht="14.25" customHeight="1" x14ac:dyDescent="0.3"/>
    <row r="216" ht="14.25" customHeight="1" x14ac:dyDescent="0.3"/>
    <row r="217" ht="14.25" customHeight="1" x14ac:dyDescent="0.3"/>
    <row r="218" ht="14.25" customHeight="1" x14ac:dyDescent="0.3"/>
    <row r="219" ht="14.25" customHeight="1" x14ac:dyDescent="0.3"/>
    <row r="220" ht="14.25" customHeight="1" x14ac:dyDescent="0.3"/>
    <row r="221" ht="14.25" customHeight="1" x14ac:dyDescent="0.3"/>
    <row r="222" ht="14.25" customHeight="1" x14ac:dyDescent="0.3"/>
    <row r="223" ht="14.25" customHeight="1" x14ac:dyDescent="0.3"/>
    <row r="224" ht="14.25" customHeight="1" x14ac:dyDescent="0.3"/>
    <row r="225" ht="14.25" customHeight="1" x14ac:dyDescent="0.3"/>
    <row r="226" ht="14.25" customHeight="1" x14ac:dyDescent="0.3"/>
    <row r="227" ht="14.25" customHeight="1" x14ac:dyDescent="0.3"/>
    <row r="228" ht="14.25" customHeight="1" x14ac:dyDescent="0.3"/>
    <row r="229" ht="14.25" customHeight="1" x14ac:dyDescent="0.3"/>
    <row r="230" ht="14.25" customHeight="1" x14ac:dyDescent="0.3"/>
    <row r="231" ht="14.25" customHeight="1" x14ac:dyDescent="0.3"/>
    <row r="232" ht="14.25" customHeight="1" x14ac:dyDescent="0.3"/>
    <row r="233" ht="14.25" customHeight="1" x14ac:dyDescent="0.3"/>
    <row r="234" ht="14.25" customHeight="1" x14ac:dyDescent="0.3"/>
    <row r="235" ht="14.25" customHeight="1" x14ac:dyDescent="0.3"/>
    <row r="236" ht="14.25" customHeight="1" x14ac:dyDescent="0.3"/>
    <row r="237" ht="14.25" customHeight="1" x14ac:dyDescent="0.3"/>
    <row r="238" ht="14.25" customHeight="1" x14ac:dyDescent="0.3"/>
    <row r="239" ht="14.25" customHeight="1" x14ac:dyDescent="0.3"/>
    <row r="240" ht="14.25" customHeight="1" x14ac:dyDescent="0.3"/>
    <row r="241" ht="14.25" customHeight="1" x14ac:dyDescent="0.3"/>
    <row r="242" ht="14.25" customHeight="1" x14ac:dyDescent="0.3"/>
    <row r="243" ht="14.25" customHeight="1" x14ac:dyDescent="0.3"/>
    <row r="244" ht="14.25" customHeight="1" x14ac:dyDescent="0.3"/>
    <row r="245" ht="14.25" customHeight="1" x14ac:dyDescent="0.3"/>
    <row r="246" ht="14.25" customHeight="1" x14ac:dyDescent="0.3"/>
    <row r="247" ht="14.25" customHeight="1" x14ac:dyDescent="0.3"/>
    <row r="248" ht="14.25" customHeight="1" x14ac:dyDescent="0.3"/>
    <row r="249" ht="14.25" customHeight="1" x14ac:dyDescent="0.3"/>
    <row r="250" ht="14.25" customHeight="1" x14ac:dyDescent="0.3"/>
    <row r="251" ht="14.25" customHeight="1" x14ac:dyDescent="0.3"/>
    <row r="252" ht="14.25" customHeight="1" x14ac:dyDescent="0.3"/>
    <row r="253" ht="14.25" customHeight="1" x14ac:dyDescent="0.3"/>
    <row r="254" ht="14.25" customHeight="1" x14ac:dyDescent="0.3"/>
    <row r="255" ht="14.25" customHeight="1" x14ac:dyDescent="0.3"/>
    <row r="256" ht="14.25" customHeight="1" x14ac:dyDescent="0.3"/>
    <row r="257" ht="14.25" customHeight="1" x14ac:dyDescent="0.3"/>
    <row r="258" ht="14.25" customHeight="1" x14ac:dyDescent="0.3"/>
    <row r="259" ht="14.25" customHeight="1" x14ac:dyDescent="0.3"/>
    <row r="260" ht="14.25" customHeight="1" x14ac:dyDescent="0.3"/>
    <row r="261" ht="14.25" customHeight="1" x14ac:dyDescent="0.3"/>
    <row r="262" ht="14.25" customHeight="1" x14ac:dyDescent="0.3"/>
    <row r="263" ht="14.25" customHeight="1" x14ac:dyDescent="0.3"/>
    <row r="264" ht="14.25" customHeight="1" x14ac:dyDescent="0.3"/>
    <row r="265" ht="14.25" customHeight="1" x14ac:dyDescent="0.3"/>
    <row r="266" ht="14.25" customHeight="1" x14ac:dyDescent="0.3"/>
    <row r="267" ht="14.25" customHeight="1" x14ac:dyDescent="0.3"/>
    <row r="268" ht="14.25" customHeight="1" x14ac:dyDescent="0.3"/>
    <row r="269" ht="14.25" customHeight="1" x14ac:dyDescent="0.3"/>
    <row r="270" ht="14.25" customHeight="1" x14ac:dyDescent="0.3"/>
    <row r="271" ht="14.25" customHeight="1" x14ac:dyDescent="0.3"/>
    <row r="272" ht="14.25" customHeight="1" x14ac:dyDescent="0.3"/>
    <row r="273" ht="14.25" customHeight="1" x14ac:dyDescent="0.3"/>
    <row r="274" ht="14.25" customHeight="1" x14ac:dyDescent="0.3"/>
    <row r="275" ht="14.25" customHeight="1" x14ac:dyDescent="0.3"/>
    <row r="276" ht="14.25" customHeight="1" x14ac:dyDescent="0.3"/>
    <row r="277" ht="14.25" customHeight="1" x14ac:dyDescent="0.3"/>
    <row r="278" ht="14.25" customHeight="1" x14ac:dyDescent="0.3"/>
    <row r="279" ht="14.25" customHeight="1" x14ac:dyDescent="0.3"/>
    <row r="280" ht="14.25" customHeight="1" x14ac:dyDescent="0.3"/>
    <row r="281" ht="14.25" customHeight="1" x14ac:dyDescent="0.3"/>
    <row r="282" ht="14.25" customHeight="1" x14ac:dyDescent="0.3"/>
    <row r="283" ht="14.25" customHeight="1" x14ac:dyDescent="0.3"/>
    <row r="284" ht="14.25" customHeight="1" x14ac:dyDescent="0.3"/>
    <row r="285" ht="14.25" customHeight="1" x14ac:dyDescent="0.3"/>
    <row r="286" ht="14.25" customHeight="1" x14ac:dyDescent="0.3"/>
    <row r="287" ht="14.25" customHeight="1" x14ac:dyDescent="0.3"/>
    <row r="288" ht="14.25" customHeight="1" x14ac:dyDescent="0.3"/>
    <row r="289" ht="14.25" customHeight="1" x14ac:dyDescent="0.3"/>
    <row r="290" ht="14.25" customHeight="1" x14ac:dyDescent="0.3"/>
    <row r="291" ht="14.25" customHeight="1" x14ac:dyDescent="0.3"/>
    <row r="292" ht="14.25" customHeight="1" x14ac:dyDescent="0.3"/>
    <row r="293" ht="14.25" customHeight="1" x14ac:dyDescent="0.3"/>
    <row r="294" ht="14.25" customHeight="1" x14ac:dyDescent="0.3"/>
    <row r="295" ht="14.25" customHeight="1" x14ac:dyDescent="0.3"/>
    <row r="296" ht="14.25" customHeight="1" x14ac:dyDescent="0.3"/>
    <row r="297" ht="14.25" customHeight="1" x14ac:dyDescent="0.3"/>
    <row r="298" ht="14.25" customHeight="1" x14ac:dyDescent="0.3"/>
    <row r="299" ht="14.25" customHeight="1" x14ac:dyDescent="0.3"/>
    <row r="300" ht="14.25" customHeight="1" x14ac:dyDescent="0.3"/>
    <row r="301" ht="14.25" customHeight="1" x14ac:dyDescent="0.3"/>
    <row r="302" ht="14.25" customHeight="1" x14ac:dyDescent="0.3"/>
    <row r="303" ht="14.25" customHeight="1" x14ac:dyDescent="0.3"/>
    <row r="304" ht="14.25" customHeight="1" x14ac:dyDescent="0.3"/>
    <row r="305" ht="14.25" customHeight="1" x14ac:dyDescent="0.3"/>
    <row r="306" ht="14.25" customHeight="1" x14ac:dyDescent="0.3"/>
    <row r="307" ht="14.25" customHeight="1" x14ac:dyDescent="0.3"/>
    <row r="308" ht="14.25" customHeight="1" x14ac:dyDescent="0.3"/>
    <row r="309" ht="14.25" customHeight="1" x14ac:dyDescent="0.3"/>
    <row r="310" ht="14.25" customHeight="1" x14ac:dyDescent="0.3"/>
    <row r="311" ht="14.25" customHeight="1" x14ac:dyDescent="0.3"/>
    <row r="312" ht="14.25" customHeight="1" x14ac:dyDescent="0.3"/>
    <row r="313" ht="14.25" customHeight="1" x14ac:dyDescent="0.3"/>
    <row r="314" ht="14.25" customHeight="1" x14ac:dyDescent="0.3"/>
    <row r="315" ht="14.25" customHeight="1" x14ac:dyDescent="0.3"/>
    <row r="316" ht="14.25" customHeight="1" x14ac:dyDescent="0.3"/>
    <row r="317" ht="14.25" customHeight="1" x14ac:dyDescent="0.3"/>
    <row r="318" ht="14.25" customHeight="1" x14ac:dyDescent="0.3"/>
    <row r="319" ht="14.25" customHeight="1" x14ac:dyDescent="0.3"/>
    <row r="320" ht="14.25" customHeight="1" x14ac:dyDescent="0.3"/>
    <row r="321" ht="14.25" customHeight="1" x14ac:dyDescent="0.3"/>
    <row r="322" ht="14.25" customHeight="1" x14ac:dyDescent="0.3"/>
    <row r="323" ht="14.25" customHeight="1" x14ac:dyDescent="0.3"/>
    <row r="324" ht="14.25" customHeight="1" x14ac:dyDescent="0.3"/>
    <row r="325" ht="14.25" customHeight="1" x14ac:dyDescent="0.3"/>
    <row r="326" ht="14.25" customHeight="1" x14ac:dyDescent="0.3"/>
    <row r="327" ht="14.25" customHeight="1" x14ac:dyDescent="0.3"/>
    <row r="328" ht="14.25" customHeight="1" x14ac:dyDescent="0.3"/>
    <row r="329" ht="14.25" customHeight="1" x14ac:dyDescent="0.3"/>
    <row r="330" ht="14.25" customHeight="1" x14ac:dyDescent="0.3"/>
    <row r="331" ht="14.25" customHeight="1" x14ac:dyDescent="0.3"/>
    <row r="332" ht="14.25" customHeight="1" x14ac:dyDescent="0.3"/>
    <row r="333" ht="14.25" customHeight="1" x14ac:dyDescent="0.3"/>
    <row r="334" ht="14.25" customHeight="1" x14ac:dyDescent="0.3"/>
    <row r="335" ht="14.25" customHeight="1" x14ac:dyDescent="0.3"/>
    <row r="336" ht="14.25" customHeight="1" x14ac:dyDescent="0.3"/>
    <row r="337" ht="14.25" customHeight="1" x14ac:dyDescent="0.3"/>
    <row r="338" ht="14.25" customHeight="1" x14ac:dyDescent="0.3"/>
    <row r="339" ht="14.25" customHeight="1" x14ac:dyDescent="0.3"/>
    <row r="340" ht="14.25" customHeight="1" x14ac:dyDescent="0.3"/>
    <row r="341" ht="14.25" customHeight="1" x14ac:dyDescent="0.3"/>
    <row r="342" ht="14.25" customHeight="1" x14ac:dyDescent="0.3"/>
    <row r="343" ht="14.25" customHeight="1" x14ac:dyDescent="0.3"/>
    <row r="344" ht="14.25" customHeight="1" x14ac:dyDescent="0.3"/>
    <row r="345" ht="14.25" customHeight="1" x14ac:dyDescent="0.3"/>
    <row r="346" ht="14.25" customHeight="1" x14ac:dyDescent="0.3"/>
    <row r="347" ht="14.25" customHeight="1" x14ac:dyDescent="0.3"/>
    <row r="348" ht="14.25" customHeight="1" x14ac:dyDescent="0.3"/>
    <row r="349" ht="14.25" customHeight="1" x14ac:dyDescent="0.3"/>
    <row r="350" ht="14.25" customHeight="1" x14ac:dyDescent="0.3"/>
    <row r="351" ht="14.25" customHeight="1" x14ac:dyDescent="0.3"/>
    <row r="352" ht="14.25" customHeight="1" x14ac:dyDescent="0.3"/>
    <row r="353" ht="14.25" customHeight="1" x14ac:dyDescent="0.3"/>
    <row r="354" ht="14.25" customHeight="1" x14ac:dyDescent="0.3"/>
    <row r="355" ht="14.25" customHeight="1" x14ac:dyDescent="0.3"/>
    <row r="356" ht="14.25" customHeight="1" x14ac:dyDescent="0.3"/>
    <row r="357" ht="14.25" customHeight="1" x14ac:dyDescent="0.3"/>
    <row r="358" ht="14.25" customHeight="1" x14ac:dyDescent="0.3"/>
    <row r="359" ht="14.25" customHeight="1" x14ac:dyDescent="0.3"/>
    <row r="360" ht="14.25" customHeight="1" x14ac:dyDescent="0.3"/>
    <row r="361" ht="14.25" customHeight="1" x14ac:dyDescent="0.3"/>
    <row r="362" ht="14.25" customHeight="1" x14ac:dyDescent="0.3"/>
    <row r="363" ht="14.25" customHeight="1" x14ac:dyDescent="0.3"/>
    <row r="364" ht="14.25" customHeight="1" x14ac:dyDescent="0.3"/>
    <row r="365" ht="14.25" customHeight="1" x14ac:dyDescent="0.3"/>
    <row r="366" ht="14.25" customHeight="1" x14ac:dyDescent="0.3"/>
    <row r="367" ht="14.25" customHeight="1" x14ac:dyDescent="0.3"/>
    <row r="368" ht="14.25" customHeight="1" x14ac:dyDescent="0.3"/>
    <row r="369" ht="14.25" customHeight="1" x14ac:dyDescent="0.3"/>
    <row r="370" ht="14.25" customHeight="1" x14ac:dyDescent="0.3"/>
    <row r="371" ht="14.25" customHeight="1" x14ac:dyDescent="0.3"/>
    <row r="372" ht="14.25" customHeight="1" x14ac:dyDescent="0.3"/>
    <row r="373" ht="14.25" customHeight="1" x14ac:dyDescent="0.3"/>
    <row r="374" ht="14.25" customHeight="1" x14ac:dyDescent="0.3"/>
    <row r="375" ht="14.25" customHeight="1" x14ac:dyDescent="0.3"/>
    <row r="376" ht="14.25" customHeight="1" x14ac:dyDescent="0.3"/>
    <row r="377" ht="14.25" customHeight="1" x14ac:dyDescent="0.3"/>
    <row r="378" ht="14.25" customHeight="1" x14ac:dyDescent="0.3"/>
    <row r="379" ht="14.25" customHeight="1" x14ac:dyDescent="0.3"/>
    <row r="380" ht="14.25" customHeight="1" x14ac:dyDescent="0.3"/>
    <row r="381" ht="14.25" customHeight="1" x14ac:dyDescent="0.3"/>
    <row r="382" ht="14.25" customHeight="1" x14ac:dyDescent="0.3"/>
    <row r="383" ht="14.25" customHeight="1" x14ac:dyDescent="0.3"/>
    <row r="384" ht="14.25" customHeight="1" x14ac:dyDescent="0.3"/>
    <row r="385" ht="14.25" customHeight="1" x14ac:dyDescent="0.3"/>
    <row r="386" ht="14.25" customHeight="1" x14ac:dyDescent="0.3"/>
    <row r="387" ht="14.25" customHeight="1" x14ac:dyDescent="0.3"/>
    <row r="388" ht="14.25" customHeight="1" x14ac:dyDescent="0.3"/>
    <row r="389" ht="14.25" customHeight="1" x14ac:dyDescent="0.3"/>
    <row r="390" ht="14.25" customHeight="1" x14ac:dyDescent="0.3"/>
    <row r="391" ht="14.25" customHeight="1" x14ac:dyDescent="0.3"/>
    <row r="392" ht="14.25" customHeight="1" x14ac:dyDescent="0.3"/>
    <row r="393" ht="14.25" customHeight="1" x14ac:dyDescent="0.3"/>
    <row r="394" ht="14.25" customHeight="1" x14ac:dyDescent="0.3"/>
    <row r="395" ht="14.25" customHeight="1" x14ac:dyDescent="0.3"/>
    <row r="396" ht="14.25" customHeight="1" x14ac:dyDescent="0.3"/>
    <row r="397" ht="14.25" customHeight="1" x14ac:dyDescent="0.3"/>
    <row r="398" ht="14.25" customHeight="1" x14ac:dyDescent="0.3"/>
    <row r="399" ht="14.25" customHeight="1" x14ac:dyDescent="0.3"/>
    <row r="400" ht="14.25" customHeight="1" x14ac:dyDescent="0.3"/>
    <row r="401" ht="14.25" customHeight="1" x14ac:dyDescent="0.3"/>
    <row r="402" ht="14.25" customHeight="1" x14ac:dyDescent="0.3"/>
    <row r="403" ht="14.25" customHeight="1" x14ac:dyDescent="0.3"/>
    <row r="404" ht="14.25" customHeight="1" x14ac:dyDescent="0.3"/>
    <row r="405" ht="14.25" customHeight="1" x14ac:dyDescent="0.3"/>
    <row r="406" ht="14.25" customHeight="1" x14ac:dyDescent="0.3"/>
    <row r="407" ht="14.25" customHeight="1" x14ac:dyDescent="0.3"/>
    <row r="408" ht="14.25" customHeight="1" x14ac:dyDescent="0.3"/>
    <row r="409" ht="14.25" customHeight="1" x14ac:dyDescent="0.3"/>
    <row r="410" ht="14.25" customHeight="1" x14ac:dyDescent="0.3"/>
    <row r="411" ht="14.25" customHeight="1" x14ac:dyDescent="0.3"/>
    <row r="412" ht="14.25" customHeight="1" x14ac:dyDescent="0.3"/>
    <row r="413" ht="14.25" customHeight="1" x14ac:dyDescent="0.3"/>
    <row r="414" ht="14.25" customHeight="1" x14ac:dyDescent="0.3"/>
    <row r="415" ht="14.25" customHeight="1" x14ac:dyDescent="0.3"/>
    <row r="416" ht="14.25" customHeight="1" x14ac:dyDescent="0.3"/>
    <row r="417" ht="14.25" customHeight="1" x14ac:dyDescent="0.3"/>
    <row r="418" ht="14.25" customHeight="1" x14ac:dyDescent="0.3"/>
    <row r="419" ht="14.25" customHeight="1" x14ac:dyDescent="0.3"/>
    <row r="420" ht="14.25" customHeight="1" x14ac:dyDescent="0.3"/>
    <row r="421" ht="14.25" customHeight="1" x14ac:dyDescent="0.3"/>
    <row r="422" ht="14.25" customHeight="1" x14ac:dyDescent="0.3"/>
    <row r="423" ht="14.25" customHeight="1" x14ac:dyDescent="0.3"/>
    <row r="424" ht="14.25" customHeight="1" x14ac:dyDescent="0.3"/>
    <row r="425" ht="14.25" customHeight="1" x14ac:dyDescent="0.3"/>
    <row r="426" ht="14.25" customHeight="1" x14ac:dyDescent="0.3"/>
    <row r="427" ht="14.25" customHeight="1" x14ac:dyDescent="0.3"/>
    <row r="428" ht="14.25" customHeight="1" x14ac:dyDescent="0.3"/>
    <row r="429" ht="14.25" customHeight="1" x14ac:dyDescent="0.3"/>
    <row r="430" ht="14.25" customHeight="1" x14ac:dyDescent="0.3"/>
    <row r="431" ht="14.25" customHeight="1" x14ac:dyDescent="0.3"/>
    <row r="432" ht="14.25" customHeight="1" x14ac:dyDescent="0.3"/>
    <row r="433" ht="14.25" customHeight="1" x14ac:dyDescent="0.3"/>
    <row r="434" ht="14.25" customHeight="1" x14ac:dyDescent="0.3"/>
    <row r="435" ht="14.25" customHeight="1" x14ac:dyDescent="0.3"/>
    <row r="436" ht="14.25" customHeight="1" x14ac:dyDescent="0.3"/>
    <row r="437" ht="14.25" customHeight="1" x14ac:dyDescent="0.3"/>
    <row r="438" ht="14.25" customHeight="1" x14ac:dyDescent="0.3"/>
    <row r="439" ht="14.25" customHeight="1" x14ac:dyDescent="0.3"/>
    <row r="440" ht="14.25" customHeight="1" x14ac:dyDescent="0.3"/>
    <row r="441" ht="14.25" customHeight="1" x14ac:dyDescent="0.3"/>
    <row r="442" ht="14.25" customHeight="1" x14ac:dyDescent="0.3"/>
    <row r="443" ht="14.25" customHeight="1" x14ac:dyDescent="0.3"/>
    <row r="444" ht="14.25" customHeight="1" x14ac:dyDescent="0.3"/>
    <row r="445" ht="14.25" customHeight="1" x14ac:dyDescent="0.3"/>
    <row r="446" ht="14.25" customHeight="1" x14ac:dyDescent="0.3"/>
    <row r="447" ht="14.25" customHeight="1" x14ac:dyDescent="0.3"/>
    <row r="448" ht="14.25" customHeight="1" x14ac:dyDescent="0.3"/>
    <row r="449" ht="14.25" customHeight="1" x14ac:dyDescent="0.3"/>
    <row r="450" ht="14.25" customHeight="1" x14ac:dyDescent="0.3"/>
    <row r="451" ht="14.25" customHeight="1" x14ac:dyDescent="0.3"/>
    <row r="452" ht="14.25" customHeight="1" x14ac:dyDescent="0.3"/>
    <row r="453" ht="14.25" customHeight="1" x14ac:dyDescent="0.3"/>
    <row r="454" ht="14.25" customHeight="1" x14ac:dyDescent="0.3"/>
    <row r="455" ht="14.25" customHeight="1" x14ac:dyDescent="0.3"/>
    <row r="456" ht="14.25" customHeight="1" x14ac:dyDescent="0.3"/>
    <row r="457" ht="14.25" customHeight="1" x14ac:dyDescent="0.3"/>
    <row r="458" ht="14.25" customHeight="1" x14ac:dyDescent="0.3"/>
    <row r="459" ht="14.25" customHeight="1" x14ac:dyDescent="0.3"/>
    <row r="460" ht="14.25" customHeight="1" x14ac:dyDescent="0.3"/>
    <row r="461" ht="14.25" customHeight="1" x14ac:dyDescent="0.3"/>
    <row r="462" ht="14.25" customHeight="1" x14ac:dyDescent="0.3"/>
    <row r="463" ht="14.25" customHeight="1" x14ac:dyDescent="0.3"/>
    <row r="464" ht="14.25" customHeight="1" x14ac:dyDescent="0.3"/>
    <row r="465" ht="14.25" customHeight="1" x14ac:dyDescent="0.3"/>
    <row r="466" ht="14.25" customHeight="1" x14ac:dyDescent="0.3"/>
    <row r="467" ht="14.25" customHeight="1" x14ac:dyDescent="0.3"/>
    <row r="468" ht="14.25" customHeight="1" x14ac:dyDescent="0.3"/>
    <row r="469" ht="14.25" customHeight="1" x14ac:dyDescent="0.3"/>
    <row r="470" ht="14.25" customHeight="1" x14ac:dyDescent="0.3"/>
    <row r="471" ht="14.25" customHeight="1" x14ac:dyDescent="0.3"/>
    <row r="472" ht="14.25" customHeight="1" x14ac:dyDescent="0.3"/>
    <row r="473" ht="14.25" customHeight="1" x14ac:dyDescent="0.3"/>
    <row r="474" ht="14.25" customHeight="1" x14ac:dyDescent="0.3"/>
    <row r="475" ht="14.25" customHeight="1" x14ac:dyDescent="0.3"/>
    <row r="476" ht="14.25" customHeight="1" x14ac:dyDescent="0.3"/>
    <row r="477" ht="14.25" customHeight="1" x14ac:dyDescent="0.3"/>
    <row r="478" ht="14.25" customHeight="1" x14ac:dyDescent="0.3"/>
    <row r="479" ht="14.25" customHeight="1" x14ac:dyDescent="0.3"/>
    <row r="480" ht="14.25" customHeight="1" x14ac:dyDescent="0.3"/>
    <row r="481" ht="14.25" customHeight="1" x14ac:dyDescent="0.3"/>
    <row r="482" ht="14.25" customHeight="1" x14ac:dyDescent="0.3"/>
    <row r="483" ht="14.25" customHeight="1" x14ac:dyDescent="0.3"/>
    <row r="484" ht="14.25" customHeight="1" x14ac:dyDescent="0.3"/>
    <row r="485" ht="14.25" customHeight="1" x14ac:dyDescent="0.3"/>
    <row r="486" ht="14.25" customHeight="1" x14ac:dyDescent="0.3"/>
    <row r="487" ht="14.25" customHeight="1" x14ac:dyDescent="0.3"/>
    <row r="488" ht="14.25" customHeight="1" x14ac:dyDescent="0.3"/>
    <row r="489" ht="14.25" customHeight="1" x14ac:dyDescent="0.3"/>
    <row r="490" ht="14.25" customHeight="1" x14ac:dyDescent="0.3"/>
    <row r="491" ht="14.25" customHeight="1" x14ac:dyDescent="0.3"/>
    <row r="492" ht="14.25" customHeight="1" x14ac:dyDescent="0.3"/>
    <row r="493" ht="14.25" customHeight="1" x14ac:dyDescent="0.3"/>
    <row r="494" ht="14.25" customHeight="1" x14ac:dyDescent="0.3"/>
    <row r="495" ht="14.25" customHeight="1" x14ac:dyDescent="0.3"/>
    <row r="496" ht="14.25" customHeight="1" x14ac:dyDescent="0.3"/>
    <row r="497" ht="14.25" customHeight="1" x14ac:dyDescent="0.3"/>
    <row r="498" ht="14.25" customHeight="1" x14ac:dyDescent="0.3"/>
    <row r="499" ht="14.25" customHeight="1" x14ac:dyDescent="0.3"/>
    <row r="500" ht="14.25" customHeight="1" x14ac:dyDescent="0.3"/>
    <row r="501" ht="14.25" customHeight="1" x14ac:dyDescent="0.3"/>
    <row r="502" ht="14.25" customHeight="1" x14ac:dyDescent="0.3"/>
    <row r="503" ht="14.25" customHeight="1" x14ac:dyDescent="0.3"/>
    <row r="504" ht="14.25" customHeight="1" x14ac:dyDescent="0.3"/>
    <row r="505" ht="14.25" customHeight="1" x14ac:dyDescent="0.3"/>
    <row r="506" ht="14.25" customHeight="1" x14ac:dyDescent="0.3"/>
    <row r="507" ht="14.25" customHeight="1" x14ac:dyDescent="0.3"/>
    <row r="508" ht="14.25" customHeight="1" x14ac:dyDescent="0.3"/>
    <row r="509" ht="14.25" customHeight="1" x14ac:dyDescent="0.3"/>
    <row r="510" ht="14.25" customHeight="1" x14ac:dyDescent="0.3"/>
    <row r="511" ht="14.25" customHeight="1" x14ac:dyDescent="0.3"/>
    <row r="512" ht="14.25" customHeight="1" x14ac:dyDescent="0.3"/>
    <row r="513" ht="14.25" customHeight="1" x14ac:dyDescent="0.3"/>
    <row r="514" ht="14.25" customHeight="1" x14ac:dyDescent="0.3"/>
    <row r="515" ht="14.25" customHeight="1" x14ac:dyDescent="0.3"/>
    <row r="516" ht="14.25" customHeight="1" x14ac:dyDescent="0.3"/>
    <row r="517" ht="14.25" customHeight="1" x14ac:dyDescent="0.3"/>
    <row r="518" ht="14.25" customHeight="1" x14ac:dyDescent="0.3"/>
    <row r="519" ht="14.25" customHeight="1" x14ac:dyDescent="0.3"/>
    <row r="520" ht="14.25" customHeight="1" x14ac:dyDescent="0.3"/>
    <row r="521" ht="14.25" customHeight="1" x14ac:dyDescent="0.3"/>
    <row r="522" ht="14.25" customHeight="1" x14ac:dyDescent="0.3"/>
    <row r="523" ht="14.25" customHeight="1" x14ac:dyDescent="0.3"/>
    <row r="524" ht="14.25" customHeight="1" x14ac:dyDescent="0.3"/>
    <row r="525" ht="14.25" customHeight="1" x14ac:dyDescent="0.3"/>
    <row r="526" ht="14.25" customHeight="1" x14ac:dyDescent="0.3"/>
    <row r="527" ht="14.25" customHeight="1" x14ac:dyDescent="0.3"/>
    <row r="528" ht="14.25" customHeight="1" x14ac:dyDescent="0.3"/>
    <row r="529" ht="14.25" customHeight="1" x14ac:dyDescent="0.3"/>
    <row r="530" ht="14.25" customHeight="1" x14ac:dyDescent="0.3"/>
    <row r="531" ht="14.25" customHeight="1" x14ac:dyDescent="0.3"/>
    <row r="532" ht="14.25" customHeight="1" x14ac:dyDescent="0.3"/>
    <row r="533" ht="14.25" customHeight="1" x14ac:dyDescent="0.3"/>
    <row r="534" ht="14.25" customHeight="1" x14ac:dyDescent="0.3"/>
    <row r="535" ht="14.25" customHeight="1" x14ac:dyDescent="0.3"/>
    <row r="536" ht="14.25" customHeight="1" x14ac:dyDescent="0.3"/>
    <row r="537" ht="14.25" customHeight="1" x14ac:dyDescent="0.3"/>
    <row r="538" ht="14.25" customHeight="1" x14ac:dyDescent="0.3"/>
    <row r="539" ht="14.25" customHeight="1" x14ac:dyDescent="0.3"/>
    <row r="540" ht="14.25" customHeight="1" x14ac:dyDescent="0.3"/>
    <row r="541" ht="14.25" customHeight="1" x14ac:dyDescent="0.3"/>
    <row r="542" ht="14.25" customHeight="1" x14ac:dyDescent="0.3"/>
    <row r="543" ht="14.25" customHeight="1" x14ac:dyDescent="0.3"/>
    <row r="544" ht="14.25" customHeight="1" x14ac:dyDescent="0.3"/>
    <row r="545" ht="14.25" customHeight="1" x14ac:dyDescent="0.3"/>
    <row r="546" ht="14.25" customHeight="1" x14ac:dyDescent="0.3"/>
    <row r="547" ht="14.25" customHeight="1" x14ac:dyDescent="0.3"/>
    <row r="548" ht="14.25" customHeight="1" x14ac:dyDescent="0.3"/>
    <row r="549" ht="14.25" customHeight="1" x14ac:dyDescent="0.3"/>
    <row r="550" ht="14.25" customHeight="1" x14ac:dyDescent="0.3"/>
    <row r="551" ht="14.25" customHeight="1" x14ac:dyDescent="0.3"/>
    <row r="552" ht="14.25" customHeight="1" x14ac:dyDescent="0.3"/>
    <row r="553" ht="14.25" customHeight="1" x14ac:dyDescent="0.3"/>
    <row r="554" ht="14.25" customHeight="1" x14ac:dyDescent="0.3"/>
    <row r="555" ht="14.25" customHeight="1" x14ac:dyDescent="0.3"/>
    <row r="556" ht="14.25" customHeight="1" x14ac:dyDescent="0.3"/>
    <row r="557" ht="14.25" customHeight="1" x14ac:dyDescent="0.3"/>
    <row r="558" ht="14.25" customHeight="1" x14ac:dyDescent="0.3"/>
    <row r="559" ht="14.25" customHeight="1" x14ac:dyDescent="0.3"/>
    <row r="560" ht="14.25" customHeight="1" x14ac:dyDescent="0.3"/>
    <row r="561" ht="14.25" customHeight="1" x14ac:dyDescent="0.3"/>
    <row r="562" ht="14.25" customHeight="1" x14ac:dyDescent="0.3"/>
    <row r="563" ht="14.25" customHeight="1" x14ac:dyDescent="0.3"/>
    <row r="564" ht="14.25" customHeight="1" x14ac:dyDescent="0.3"/>
    <row r="565" ht="14.25" customHeight="1" x14ac:dyDescent="0.3"/>
    <row r="566" ht="14.25" customHeight="1" x14ac:dyDescent="0.3"/>
    <row r="567" ht="14.25" customHeight="1" x14ac:dyDescent="0.3"/>
    <row r="568" ht="14.25" customHeight="1" x14ac:dyDescent="0.3"/>
    <row r="569" ht="14.25" customHeight="1" x14ac:dyDescent="0.3"/>
    <row r="570" ht="14.25" customHeight="1" x14ac:dyDescent="0.3"/>
    <row r="571" ht="14.25" customHeight="1" x14ac:dyDescent="0.3"/>
    <row r="572" ht="14.25" customHeight="1" x14ac:dyDescent="0.3"/>
    <row r="573" ht="14.25" customHeight="1" x14ac:dyDescent="0.3"/>
    <row r="574" ht="14.25" customHeight="1" x14ac:dyDescent="0.3"/>
    <row r="575" ht="14.25" customHeight="1" x14ac:dyDescent="0.3"/>
    <row r="576" ht="14.25" customHeight="1" x14ac:dyDescent="0.3"/>
    <row r="577" ht="14.25" customHeight="1" x14ac:dyDescent="0.3"/>
    <row r="578" ht="14.25" customHeight="1" x14ac:dyDescent="0.3"/>
    <row r="579" ht="14.25" customHeight="1" x14ac:dyDescent="0.3"/>
    <row r="580" ht="14.25" customHeight="1" x14ac:dyDescent="0.3"/>
    <row r="581" ht="14.25" customHeight="1" x14ac:dyDescent="0.3"/>
    <row r="582" ht="14.25" customHeight="1" x14ac:dyDescent="0.3"/>
    <row r="583" ht="14.25" customHeight="1" x14ac:dyDescent="0.3"/>
    <row r="584" ht="14.25" customHeight="1" x14ac:dyDescent="0.3"/>
    <row r="585" ht="14.25" customHeight="1" x14ac:dyDescent="0.3"/>
    <row r="586" ht="14.25" customHeight="1" x14ac:dyDescent="0.3"/>
    <row r="587" ht="14.25" customHeight="1" x14ac:dyDescent="0.3"/>
    <row r="588" ht="14.25" customHeight="1" x14ac:dyDescent="0.3"/>
    <row r="589" ht="14.25" customHeight="1" x14ac:dyDescent="0.3"/>
    <row r="590" ht="14.25" customHeight="1" x14ac:dyDescent="0.3"/>
    <row r="591" ht="14.25" customHeight="1" x14ac:dyDescent="0.3"/>
    <row r="592" ht="14.25" customHeight="1" x14ac:dyDescent="0.3"/>
    <row r="593" ht="14.25" customHeight="1" x14ac:dyDescent="0.3"/>
    <row r="594" ht="14.25" customHeight="1" x14ac:dyDescent="0.3"/>
    <row r="595" ht="14.25" customHeight="1" x14ac:dyDescent="0.3"/>
    <row r="596" ht="14.25" customHeight="1" x14ac:dyDescent="0.3"/>
    <row r="597" ht="14.25" customHeight="1" x14ac:dyDescent="0.3"/>
    <row r="598" ht="14.25" customHeight="1" x14ac:dyDescent="0.3"/>
    <row r="599" ht="14.25" customHeight="1" x14ac:dyDescent="0.3"/>
    <row r="600" ht="14.25" customHeight="1" x14ac:dyDescent="0.3"/>
    <row r="601" ht="14.25" customHeight="1" x14ac:dyDescent="0.3"/>
    <row r="602" ht="14.25" customHeight="1" x14ac:dyDescent="0.3"/>
    <row r="603" ht="14.25" customHeight="1" x14ac:dyDescent="0.3"/>
    <row r="604" ht="14.25" customHeight="1" x14ac:dyDescent="0.3"/>
    <row r="605" ht="14.25" customHeight="1" x14ac:dyDescent="0.3"/>
    <row r="606" ht="14.25" customHeight="1" x14ac:dyDescent="0.3"/>
    <row r="607" ht="14.25" customHeight="1" x14ac:dyDescent="0.3"/>
    <row r="608" ht="14.25" customHeight="1" x14ac:dyDescent="0.3"/>
    <row r="609" ht="14.25" customHeight="1" x14ac:dyDescent="0.3"/>
    <row r="610" ht="14.25" customHeight="1" x14ac:dyDescent="0.3"/>
    <row r="611" ht="14.25" customHeight="1" x14ac:dyDescent="0.3"/>
    <row r="612" ht="14.25" customHeight="1" x14ac:dyDescent="0.3"/>
    <row r="613" ht="14.25" customHeight="1" x14ac:dyDescent="0.3"/>
    <row r="614" ht="14.25" customHeight="1" x14ac:dyDescent="0.3"/>
    <row r="615" ht="14.25" customHeight="1" x14ac:dyDescent="0.3"/>
    <row r="616" ht="14.25" customHeight="1" x14ac:dyDescent="0.3"/>
    <row r="617" ht="14.25" customHeight="1" x14ac:dyDescent="0.3"/>
    <row r="618" ht="14.25" customHeight="1" x14ac:dyDescent="0.3"/>
    <row r="619" ht="14.25" customHeight="1" x14ac:dyDescent="0.3"/>
    <row r="620" ht="14.25" customHeight="1" x14ac:dyDescent="0.3"/>
    <row r="621" ht="14.25" customHeight="1" x14ac:dyDescent="0.3"/>
    <row r="622" ht="14.25" customHeight="1" x14ac:dyDescent="0.3"/>
    <row r="623" ht="14.25" customHeight="1" x14ac:dyDescent="0.3"/>
    <row r="624" ht="14.25" customHeight="1" x14ac:dyDescent="0.3"/>
    <row r="625" ht="14.25" customHeight="1" x14ac:dyDescent="0.3"/>
    <row r="626" ht="14.25" customHeight="1" x14ac:dyDescent="0.3"/>
    <row r="627" ht="14.25" customHeight="1" x14ac:dyDescent="0.3"/>
    <row r="628" ht="14.25" customHeight="1" x14ac:dyDescent="0.3"/>
    <row r="629" ht="14.25" customHeight="1" x14ac:dyDescent="0.3"/>
    <row r="630" ht="14.25" customHeight="1" x14ac:dyDescent="0.3"/>
    <row r="631" ht="14.25" customHeight="1" x14ac:dyDescent="0.3"/>
    <row r="632" ht="14.25" customHeight="1" x14ac:dyDescent="0.3"/>
    <row r="633" ht="14.25" customHeight="1" x14ac:dyDescent="0.3"/>
    <row r="634" ht="14.25" customHeight="1" x14ac:dyDescent="0.3"/>
    <row r="635" ht="14.25" customHeight="1" x14ac:dyDescent="0.3"/>
    <row r="636" ht="14.25" customHeight="1" x14ac:dyDescent="0.3"/>
    <row r="637" ht="14.25" customHeight="1" x14ac:dyDescent="0.3"/>
    <row r="638" ht="14.25" customHeight="1" x14ac:dyDescent="0.3"/>
    <row r="639" ht="14.25" customHeight="1" x14ac:dyDescent="0.3"/>
    <row r="640" ht="14.25" customHeight="1" x14ac:dyDescent="0.3"/>
    <row r="641" ht="14.25" customHeight="1" x14ac:dyDescent="0.3"/>
    <row r="642" ht="14.25" customHeight="1" x14ac:dyDescent="0.3"/>
    <row r="643" ht="14.25" customHeight="1" x14ac:dyDescent="0.3"/>
    <row r="644" ht="14.25" customHeight="1" x14ac:dyDescent="0.3"/>
    <row r="645" ht="14.25" customHeight="1" x14ac:dyDescent="0.3"/>
    <row r="646" ht="14.25" customHeight="1" x14ac:dyDescent="0.3"/>
    <row r="647" ht="14.25" customHeight="1" x14ac:dyDescent="0.3"/>
    <row r="648" ht="14.25" customHeight="1" x14ac:dyDescent="0.3"/>
    <row r="649" ht="14.25" customHeight="1" x14ac:dyDescent="0.3"/>
    <row r="650" ht="14.25" customHeight="1" x14ac:dyDescent="0.3"/>
    <row r="651" ht="14.25" customHeight="1" x14ac:dyDescent="0.3"/>
    <row r="652" ht="14.25" customHeight="1" x14ac:dyDescent="0.3"/>
    <row r="653" ht="14.25" customHeight="1" x14ac:dyDescent="0.3"/>
    <row r="654" ht="14.25" customHeight="1" x14ac:dyDescent="0.3"/>
    <row r="655" ht="14.25" customHeight="1" x14ac:dyDescent="0.3"/>
    <row r="656" ht="14.25" customHeight="1" x14ac:dyDescent="0.3"/>
    <row r="657" ht="14.25" customHeight="1" x14ac:dyDescent="0.3"/>
    <row r="658" ht="14.25" customHeight="1" x14ac:dyDescent="0.3"/>
    <row r="659" ht="14.25" customHeight="1" x14ac:dyDescent="0.3"/>
    <row r="660" ht="14.25" customHeight="1" x14ac:dyDescent="0.3"/>
    <row r="661" ht="14.25" customHeight="1" x14ac:dyDescent="0.3"/>
    <row r="662" ht="14.25" customHeight="1" x14ac:dyDescent="0.3"/>
    <row r="663" ht="14.25" customHeight="1" x14ac:dyDescent="0.3"/>
    <row r="664" ht="14.25" customHeight="1" x14ac:dyDescent="0.3"/>
    <row r="665" ht="14.25" customHeight="1" x14ac:dyDescent="0.3"/>
    <row r="666" ht="14.25" customHeight="1" x14ac:dyDescent="0.3"/>
    <row r="667" ht="14.25" customHeight="1" x14ac:dyDescent="0.3"/>
    <row r="668" ht="14.25" customHeight="1" x14ac:dyDescent="0.3"/>
    <row r="669" ht="14.25" customHeight="1" x14ac:dyDescent="0.3"/>
    <row r="670" ht="14.25" customHeight="1" x14ac:dyDescent="0.3"/>
    <row r="671" ht="14.25" customHeight="1" x14ac:dyDescent="0.3"/>
    <row r="672" ht="14.25" customHeight="1" x14ac:dyDescent="0.3"/>
    <row r="673" ht="14.25" customHeight="1" x14ac:dyDescent="0.3"/>
    <row r="674" ht="14.25" customHeight="1" x14ac:dyDescent="0.3"/>
    <row r="675" ht="14.25" customHeight="1" x14ac:dyDescent="0.3"/>
    <row r="676" ht="14.25" customHeight="1" x14ac:dyDescent="0.3"/>
    <row r="677" ht="14.25" customHeight="1" x14ac:dyDescent="0.3"/>
    <row r="678" ht="14.25" customHeight="1" x14ac:dyDescent="0.3"/>
    <row r="679" ht="14.25" customHeight="1" x14ac:dyDescent="0.3"/>
    <row r="680" ht="14.25" customHeight="1" x14ac:dyDescent="0.3"/>
    <row r="681" ht="14.25" customHeight="1" x14ac:dyDescent="0.3"/>
    <row r="682" ht="14.25" customHeight="1" x14ac:dyDescent="0.3"/>
    <row r="683" ht="14.25" customHeight="1" x14ac:dyDescent="0.3"/>
    <row r="684" ht="14.25" customHeight="1" x14ac:dyDescent="0.3"/>
    <row r="685" ht="14.25" customHeight="1" x14ac:dyDescent="0.3"/>
    <row r="686" ht="14.25" customHeight="1" x14ac:dyDescent="0.3"/>
    <row r="687" ht="14.25" customHeight="1" x14ac:dyDescent="0.3"/>
    <row r="688" ht="14.25" customHeight="1" x14ac:dyDescent="0.3"/>
    <row r="689" ht="14.25" customHeight="1" x14ac:dyDescent="0.3"/>
    <row r="690" ht="14.25" customHeight="1" x14ac:dyDescent="0.3"/>
    <row r="691" ht="14.25" customHeight="1" x14ac:dyDescent="0.3"/>
    <row r="692" ht="14.25" customHeight="1" x14ac:dyDescent="0.3"/>
    <row r="693" ht="14.25" customHeight="1" x14ac:dyDescent="0.3"/>
    <row r="694" ht="14.25" customHeight="1" x14ac:dyDescent="0.3"/>
    <row r="695" ht="14.25" customHeight="1" x14ac:dyDescent="0.3"/>
    <row r="696" ht="14.25" customHeight="1" x14ac:dyDescent="0.3"/>
    <row r="697" ht="14.25" customHeight="1" x14ac:dyDescent="0.3"/>
    <row r="698" ht="14.25" customHeight="1" x14ac:dyDescent="0.3"/>
    <row r="699" ht="14.25" customHeight="1" x14ac:dyDescent="0.3"/>
    <row r="700" ht="14.25" customHeight="1" x14ac:dyDescent="0.3"/>
    <row r="701" ht="14.25" customHeight="1" x14ac:dyDescent="0.3"/>
    <row r="702" ht="14.25" customHeight="1" x14ac:dyDescent="0.3"/>
    <row r="703" ht="14.25" customHeight="1" x14ac:dyDescent="0.3"/>
    <row r="704" ht="14.25" customHeight="1" x14ac:dyDescent="0.3"/>
    <row r="705" ht="14.25" customHeight="1" x14ac:dyDescent="0.3"/>
    <row r="706" ht="14.25" customHeight="1" x14ac:dyDescent="0.3"/>
    <row r="707" ht="14.25" customHeight="1" x14ac:dyDescent="0.3"/>
    <row r="708" ht="14.25" customHeight="1" x14ac:dyDescent="0.3"/>
    <row r="709" ht="14.25" customHeight="1" x14ac:dyDescent="0.3"/>
    <row r="710" ht="14.25" customHeight="1" x14ac:dyDescent="0.3"/>
    <row r="711" ht="14.25" customHeight="1" x14ac:dyDescent="0.3"/>
    <row r="712" ht="14.25" customHeight="1" x14ac:dyDescent="0.3"/>
    <row r="713" ht="14.25" customHeight="1" x14ac:dyDescent="0.3"/>
    <row r="714" ht="14.25" customHeight="1" x14ac:dyDescent="0.3"/>
    <row r="715" ht="14.25" customHeight="1" x14ac:dyDescent="0.3"/>
    <row r="716" ht="14.25" customHeight="1" x14ac:dyDescent="0.3"/>
    <row r="717" ht="14.25" customHeight="1" x14ac:dyDescent="0.3"/>
    <row r="718" ht="14.25" customHeight="1" x14ac:dyDescent="0.3"/>
    <row r="719" ht="14.25" customHeight="1" x14ac:dyDescent="0.3"/>
    <row r="720" ht="14.25" customHeight="1" x14ac:dyDescent="0.3"/>
    <row r="721" ht="14.25" customHeight="1" x14ac:dyDescent="0.3"/>
    <row r="722" ht="14.25" customHeight="1" x14ac:dyDescent="0.3"/>
    <row r="723" ht="14.25" customHeight="1" x14ac:dyDescent="0.3"/>
    <row r="724" ht="14.25" customHeight="1" x14ac:dyDescent="0.3"/>
    <row r="725" ht="14.25" customHeight="1" x14ac:dyDescent="0.3"/>
    <row r="726" ht="14.25" customHeight="1" x14ac:dyDescent="0.3"/>
    <row r="727" ht="14.25" customHeight="1" x14ac:dyDescent="0.3"/>
    <row r="728" ht="14.25" customHeight="1" x14ac:dyDescent="0.3"/>
    <row r="729" ht="14.25" customHeight="1" x14ac:dyDescent="0.3"/>
    <row r="730" ht="14.25" customHeight="1" x14ac:dyDescent="0.3"/>
    <row r="731" ht="14.25" customHeight="1" x14ac:dyDescent="0.3"/>
    <row r="732" ht="14.25" customHeight="1" x14ac:dyDescent="0.3"/>
    <row r="733" ht="14.25" customHeight="1" x14ac:dyDescent="0.3"/>
    <row r="734" ht="14.25" customHeight="1" x14ac:dyDescent="0.3"/>
    <row r="735" ht="14.25" customHeight="1" x14ac:dyDescent="0.3"/>
    <row r="736" ht="14.25" customHeight="1" x14ac:dyDescent="0.3"/>
    <row r="737" ht="14.25" customHeight="1" x14ac:dyDescent="0.3"/>
    <row r="738" ht="14.25" customHeight="1" x14ac:dyDescent="0.3"/>
    <row r="739" ht="14.25" customHeight="1" x14ac:dyDescent="0.3"/>
    <row r="740" ht="14.25" customHeight="1" x14ac:dyDescent="0.3"/>
    <row r="741" ht="14.25" customHeight="1" x14ac:dyDescent="0.3"/>
    <row r="742" ht="14.25" customHeight="1" x14ac:dyDescent="0.3"/>
    <row r="743" ht="14.25" customHeight="1" x14ac:dyDescent="0.3"/>
    <row r="744" ht="14.25" customHeight="1" x14ac:dyDescent="0.3"/>
    <row r="745" ht="14.25" customHeight="1" x14ac:dyDescent="0.3"/>
    <row r="746" ht="14.25" customHeight="1" x14ac:dyDescent="0.3"/>
    <row r="747" ht="14.25" customHeight="1" x14ac:dyDescent="0.3"/>
    <row r="748" ht="14.25" customHeight="1" x14ac:dyDescent="0.3"/>
    <row r="749" ht="14.25" customHeight="1" x14ac:dyDescent="0.3"/>
    <row r="750" ht="14.25" customHeight="1" x14ac:dyDescent="0.3"/>
    <row r="751" ht="14.25" customHeight="1" x14ac:dyDescent="0.3"/>
    <row r="752" ht="14.25" customHeight="1" x14ac:dyDescent="0.3"/>
    <row r="753" ht="14.25" customHeight="1" x14ac:dyDescent="0.3"/>
    <row r="754" ht="14.25" customHeight="1" x14ac:dyDescent="0.3"/>
    <row r="755" ht="14.25" customHeight="1" x14ac:dyDescent="0.3"/>
    <row r="756" ht="14.25" customHeight="1" x14ac:dyDescent="0.3"/>
    <row r="757" ht="14.25" customHeight="1" x14ac:dyDescent="0.3"/>
    <row r="758" ht="14.25" customHeight="1" x14ac:dyDescent="0.3"/>
    <row r="759" ht="14.25" customHeight="1" x14ac:dyDescent="0.3"/>
    <row r="760" ht="14.25" customHeight="1" x14ac:dyDescent="0.3"/>
    <row r="761" ht="14.25" customHeight="1" x14ac:dyDescent="0.3"/>
    <row r="762" ht="14.25" customHeight="1" x14ac:dyDescent="0.3"/>
    <row r="763" ht="14.25" customHeight="1" x14ac:dyDescent="0.3"/>
    <row r="764" ht="14.25" customHeight="1" x14ac:dyDescent="0.3"/>
    <row r="765" ht="14.25" customHeight="1" x14ac:dyDescent="0.3"/>
    <row r="766" ht="14.25" customHeight="1" x14ac:dyDescent="0.3"/>
    <row r="767" ht="14.25" customHeight="1" x14ac:dyDescent="0.3"/>
    <row r="768" ht="14.25" customHeight="1" x14ac:dyDescent="0.3"/>
    <row r="769" ht="14.25" customHeight="1" x14ac:dyDescent="0.3"/>
    <row r="770" ht="14.25" customHeight="1" x14ac:dyDescent="0.3"/>
    <row r="771" ht="14.25" customHeight="1" x14ac:dyDescent="0.3"/>
    <row r="772" ht="14.25" customHeight="1" x14ac:dyDescent="0.3"/>
    <row r="773" ht="14.25" customHeight="1" x14ac:dyDescent="0.3"/>
    <row r="774" ht="14.25" customHeight="1" x14ac:dyDescent="0.3"/>
    <row r="775" ht="14.25" customHeight="1" x14ac:dyDescent="0.3"/>
    <row r="776" ht="14.25" customHeight="1" x14ac:dyDescent="0.3"/>
    <row r="777" ht="14.25" customHeight="1" x14ac:dyDescent="0.3"/>
    <row r="778" ht="14.25" customHeight="1" x14ac:dyDescent="0.3"/>
    <row r="779" ht="14.25" customHeight="1" x14ac:dyDescent="0.3"/>
    <row r="780" ht="14.25" customHeight="1" x14ac:dyDescent="0.3"/>
    <row r="781" ht="14.25" customHeight="1" x14ac:dyDescent="0.3"/>
    <row r="782" ht="14.25" customHeight="1" x14ac:dyDescent="0.3"/>
    <row r="783" ht="14.25" customHeight="1" x14ac:dyDescent="0.3"/>
    <row r="784" ht="14.25" customHeight="1" x14ac:dyDescent="0.3"/>
    <row r="785" ht="14.25" customHeight="1" x14ac:dyDescent="0.3"/>
    <row r="786" ht="14.25" customHeight="1" x14ac:dyDescent="0.3"/>
    <row r="787" ht="14.25" customHeight="1" x14ac:dyDescent="0.3"/>
    <row r="788" ht="14.25" customHeight="1" x14ac:dyDescent="0.3"/>
    <row r="789" ht="14.25" customHeight="1" x14ac:dyDescent="0.3"/>
    <row r="790" ht="14.25" customHeight="1" x14ac:dyDescent="0.3"/>
    <row r="791" ht="14.25" customHeight="1" x14ac:dyDescent="0.3"/>
    <row r="792" ht="14.25" customHeight="1" x14ac:dyDescent="0.3"/>
    <row r="793" ht="14.25" customHeight="1" x14ac:dyDescent="0.3"/>
    <row r="794" ht="14.25" customHeight="1" x14ac:dyDescent="0.3"/>
    <row r="795" ht="14.25" customHeight="1" x14ac:dyDescent="0.3"/>
    <row r="796" ht="14.25" customHeight="1" x14ac:dyDescent="0.3"/>
    <row r="797" ht="14.25" customHeight="1" x14ac:dyDescent="0.3"/>
    <row r="798" ht="14.25" customHeight="1" x14ac:dyDescent="0.3"/>
    <row r="799" ht="14.25" customHeight="1" x14ac:dyDescent="0.3"/>
    <row r="800" ht="14.25" customHeight="1" x14ac:dyDescent="0.3"/>
    <row r="801" ht="14.25" customHeight="1" x14ac:dyDescent="0.3"/>
    <row r="802" ht="14.25" customHeight="1" x14ac:dyDescent="0.3"/>
    <row r="803" ht="14.25" customHeight="1" x14ac:dyDescent="0.3"/>
    <row r="804" ht="14.25" customHeight="1" x14ac:dyDescent="0.3"/>
    <row r="805" ht="14.25" customHeight="1" x14ac:dyDescent="0.3"/>
    <row r="806" ht="14.25" customHeight="1" x14ac:dyDescent="0.3"/>
    <row r="807" ht="14.25" customHeight="1" x14ac:dyDescent="0.3"/>
    <row r="808" ht="14.25" customHeight="1" x14ac:dyDescent="0.3"/>
    <row r="809" ht="14.25" customHeight="1" x14ac:dyDescent="0.3"/>
    <row r="810" ht="14.25" customHeight="1" x14ac:dyDescent="0.3"/>
    <row r="811" ht="14.25" customHeight="1" x14ac:dyDescent="0.3"/>
    <row r="812" ht="14.25" customHeight="1" x14ac:dyDescent="0.3"/>
    <row r="813" ht="14.25" customHeight="1" x14ac:dyDescent="0.3"/>
    <row r="814" ht="14.25" customHeight="1" x14ac:dyDescent="0.3"/>
    <row r="815" ht="14.25" customHeight="1" x14ac:dyDescent="0.3"/>
    <row r="816" ht="14.25" customHeight="1" x14ac:dyDescent="0.3"/>
    <row r="817" ht="14.25" customHeight="1" x14ac:dyDescent="0.3"/>
    <row r="818" ht="14.25" customHeight="1" x14ac:dyDescent="0.3"/>
    <row r="819" ht="14.25" customHeight="1" x14ac:dyDescent="0.3"/>
    <row r="820" ht="14.25" customHeight="1" x14ac:dyDescent="0.3"/>
    <row r="821" ht="14.25" customHeight="1" x14ac:dyDescent="0.3"/>
    <row r="822" ht="14.25" customHeight="1" x14ac:dyDescent="0.3"/>
    <row r="823" ht="14.25" customHeight="1" x14ac:dyDescent="0.3"/>
    <row r="824" ht="14.25" customHeight="1" x14ac:dyDescent="0.3"/>
    <row r="825" ht="14.25" customHeight="1" x14ac:dyDescent="0.3"/>
    <row r="826" ht="14.25" customHeight="1" x14ac:dyDescent="0.3"/>
    <row r="827" ht="14.25" customHeight="1" x14ac:dyDescent="0.3"/>
    <row r="828" ht="14.25" customHeight="1" x14ac:dyDescent="0.3"/>
    <row r="829" ht="14.25" customHeight="1" x14ac:dyDescent="0.3"/>
    <row r="830" ht="14.25" customHeight="1" x14ac:dyDescent="0.3"/>
    <row r="831" ht="14.25" customHeight="1" x14ac:dyDescent="0.3"/>
    <row r="832" ht="14.25" customHeight="1" x14ac:dyDescent="0.3"/>
    <row r="833" ht="14.25" customHeight="1" x14ac:dyDescent="0.3"/>
    <row r="834" ht="14.25" customHeight="1" x14ac:dyDescent="0.3"/>
    <row r="835" ht="14.25" customHeight="1" x14ac:dyDescent="0.3"/>
    <row r="836" ht="14.25" customHeight="1" x14ac:dyDescent="0.3"/>
    <row r="837" ht="14.25" customHeight="1" x14ac:dyDescent="0.3"/>
    <row r="838" ht="14.25" customHeight="1" x14ac:dyDescent="0.3"/>
    <row r="839" ht="14.25" customHeight="1" x14ac:dyDescent="0.3"/>
    <row r="840" ht="14.25" customHeight="1" x14ac:dyDescent="0.3"/>
    <row r="841" ht="14.25" customHeight="1" x14ac:dyDescent="0.3"/>
    <row r="842" ht="14.25" customHeight="1" x14ac:dyDescent="0.3"/>
    <row r="843" ht="14.25" customHeight="1" x14ac:dyDescent="0.3"/>
    <row r="844" ht="14.25" customHeight="1" x14ac:dyDescent="0.3"/>
    <row r="845" ht="14.25" customHeight="1" x14ac:dyDescent="0.3"/>
    <row r="846" ht="14.25" customHeight="1" x14ac:dyDescent="0.3"/>
    <row r="847" ht="14.25" customHeight="1" x14ac:dyDescent="0.3"/>
    <row r="848" ht="14.25" customHeight="1" x14ac:dyDescent="0.3"/>
    <row r="849" ht="14.25" customHeight="1" x14ac:dyDescent="0.3"/>
    <row r="850" ht="14.25" customHeight="1" x14ac:dyDescent="0.3"/>
    <row r="851" ht="14.25" customHeight="1" x14ac:dyDescent="0.3"/>
    <row r="852" ht="14.25" customHeight="1" x14ac:dyDescent="0.3"/>
    <row r="853" ht="14.25" customHeight="1" x14ac:dyDescent="0.3"/>
    <row r="854" ht="14.25" customHeight="1" x14ac:dyDescent="0.3"/>
    <row r="855" ht="14.25" customHeight="1" x14ac:dyDescent="0.3"/>
    <row r="856" ht="14.25" customHeight="1" x14ac:dyDescent="0.3"/>
    <row r="857" ht="14.25" customHeight="1" x14ac:dyDescent="0.3"/>
    <row r="858" ht="14.25" customHeight="1" x14ac:dyDescent="0.3"/>
    <row r="859" ht="14.25" customHeight="1" x14ac:dyDescent="0.3"/>
    <row r="860" ht="14.25" customHeight="1" x14ac:dyDescent="0.3"/>
    <row r="861" ht="14.25" customHeight="1" x14ac:dyDescent="0.3"/>
    <row r="862" ht="14.25" customHeight="1" x14ac:dyDescent="0.3"/>
    <row r="863" ht="14.25" customHeight="1" x14ac:dyDescent="0.3"/>
    <row r="864" ht="14.25" customHeight="1" x14ac:dyDescent="0.3"/>
    <row r="865" ht="14.25" customHeight="1" x14ac:dyDescent="0.3"/>
    <row r="866" ht="14.25" customHeight="1" x14ac:dyDescent="0.3"/>
    <row r="867" ht="14.25" customHeight="1" x14ac:dyDescent="0.3"/>
    <row r="868" ht="14.25" customHeight="1" x14ac:dyDescent="0.3"/>
    <row r="869" ht="14.25" customHeight="1" x14ac:dyDescent="0.3"/>
    <row r="870" ht="14.25" customHeight="1" x14ac:dyDescent="0.3"/>
    <row r="871" ht="14.25" customHeight="1" x14ac:dyDescent="0.3"/>
    <row r="872" ht="14.25" customHeight="1" x14ac:dyDescent="0.3"/>
    <row r="873" ht="14.25" customHeight="1" x14ac:dyDescent="0.3"/>
    <row r="874" ht="14.25" customHeight="1" x14ac:dyDescent="0.3"/>
    <row r="875" ht="14.25" customHeight="1" x14ac:dyDescent="0.3"/>
    <row r="876" ht="14.25" customHeight="1" x14ac:dyDescent="0.3"/>
    <row r="877" ht="14.25" customHeight="1" x14ac:dyDescent="0.3"/>
    <row r="878" ht="14.25" customHeight="1" x14ac:dyDescent="0.3"/>
    <row r="879" ht="14.25" customHeight="1" x14ac:dyDescent="0.3"/>
    <row r="880" ht="14.25" customHeight="1" x14ac:dyDescent="0.3"/>
    <row r="881" ht="14.25" customHeight="1" x14ac:dyDescent="0.3"/>
    <row r="882" ht="14.25" customHeight="1" x14ac:dyDescent="0.3"/>
    <row r="883" ht="14.25" customHeight="1" x14ac:dyDescent="0.3"/>
    <row r="884" ht="14.25" customHeight="1" x14ac:dyDescent="0.3"/>
    <row r="885" ht="14.25" customHeight="1" x14ac:dyDescent="0.3"/>
    <row r="886" ht="14.25" customHeight="1" x14ac:dyDescent="0.3"/>
    <row r="887" ht="14.25" customHeight="1" x14ac:dyDescent="0.3"/>
    <row r="888" ht="14.25" customHeight="1" x14ac:dyDescent="0.3"/>
    <row r="889" ht="14.25" customHeight="1" x14ac:dyDescent="0.3"/>
    <row r="890" ht="14.25" customHeight="1" x14ac:dyDescent="0.3"/>
    <row r="891" ht="14.25" customHeight="1" x14ac:dyDescent="0.3"/>
    <row r="892" ht="14.25" customHeight="1" x14ac:dyDescent="0.3"/>
    <row r="893" ht="14.25" customHeight="1" x14ac:dyDescent="0.3"/>
    <row r="894" ht="14.25" customHeight="1" x14ac:dyDescent="0.3"/>
    <row r="895" ht="14.25" customHeight="1" x14ac:dyDescent="0.3"/>
    <row r="896" ht="14.25" customHeight="1" x14ac:dyDescent="0.3"/>
    <row r="897" ht="14.25" customHeight="1" x14ac:dyDescent="0.3"/>
    <row r="898" ht="14.25" customHeight="1" x14ac:dyDescent="0.3"/>
    <row r="899" ht="14.25" customHeight="1" x14ac:dyDescent="0.3"/>
    <row r="900" ht="14.25" customHeight="1" x14ac:dyDescent="0.3"/>
    <row r="901" ht="14.25" customHeight="1" x14ac:dyDescent="0.3"/>
    <row r="902" ht="14.25" customHeight="1" x14ac:dyDescent="0.3"/>
    <row r="903" ht="14.25" customHeight="1" x14ac:dyDescent="0.3"/>
    <row r="904" ht="14.25" customHeight="1" x14ac:dyDescent="0.3"/>
    <row r="905" ht="14.25" customHeight="1" x14ac:dyDescent="0.3"/>
    <row r="906" ht="14.25" customHeight="1" x14ac:dyDescent="0.3"/>
    <row r="907" ht="14.25" customHeight="1" x14ac:dyDescent="0.3"/>
    <row r="908" ht="14.25" customHeight="1" x14ac:dyDescent="0.3"/>
    <row r="909" ht="14.25" customHeight="1" x14ac:dyDescent="0.3"/>
    <row r="910" ht="14.25" customHeight="1" x14ac:dyDescent="0.3"/>
    <row r="911" ht="14.25" customHeight="1" x14ac:dyDescent="0.3"/>
    <row r="912" ht="14.25" customHeight="1" x14ac:dyDescent="0.3"/>
    <row r="913" ht="14.25" customHeight="1" x14ac:dyDescent="0.3"/>
    <row r="914" ht="14.25" customHeight="1" x14ac:dyDescent="0.3"/>
    <row r="915" ht="14.25" customHeight="1" x14ac:dyDescent="0.3"/>
    <row r="916" ht="14.25" customHeight="1" x14ac:dyDescent="0.3"/>
    <row r="917" ht="14.25" customHeight="1" x14ac:dyDescent="0.3"/>
    <row r="918" ht="14.25" customHeight="1" x14ac:dyDescent="0.3"/>
    <row r="919" ht="14.25" customHeight="1" x14ac:dyDescent="0.3"/>
    <row r="920" ht="14.25" customHeight="1" x14ac:dyDescent="0.3"/>
    <row r="921" ht="14.25" customHeight="1" x14ac:dyDescent="0.3"/>
    <row r="922" ht="14.25" customHeight="1" x14ac:dyDescent="0.3"/>
    <row r="923" ht="14.25" customHeight="1" x14ac:dyDescent="0.3"/>
    <row r="924" ht="14.25" customHeight="1" x14ac:dyDescent="0.3"/>
    <row r="925" ht="14.25" customHeight="1" x14ac:dyDescent="0.3"/>
    <row r="926" ht="14.25" customHeight="1" x14ac:dyDescent="0.3"/>
    <row r="927" ht="14.25" customHeight="1" x14ac:dyDescent="0.3"/>
    <row r="928" ht="14.25" customHeight="1" x14ac:dyDescent="0.3"/>
    <row r="929" ht="14.25" customHeight="1" x14ac:dyDescent="0.3"/>
    <row r="930" ht="14.25" customHeight="1" x14ac:dyDescent="0.3"/>
    <row r="931" ht="14.25" customHeight="1" x14ac:dyDescent="0.3"/>
    <row r="932" ht="14.25" customHeight="1" x14ac:dyDescent="0.3"/>
    <row r="933" ht="14.25" customHeight="1" x14ac:dyDescent="0.3"/>
    <row r="934" ht="14.25" customHeight="1" x14ac:dyDescent="0.3"/>
    <row r="935" ht="14.25" customHeight="1" x14ac:dyDescent="0.3"/>
    <row r="936" ht="14.25" customHeight="1" x14ac:dyDescent="0.3"/>
    <row r="937" ht="14.25" customHeight="1" x14ac:dyDescent="0.3"/>
    <row r="938" ht="14.25" customHeight="1" x14ac:dyDescent="0.3"/>
    <row r="939" ht="14.25" customHeight="1" x14ac:dyDescent="0.3"/>
    <row r="940" ht="14.25" customHeight="1" x14ac:dyDescent="0.3"/>
    <row r="941" ht="14.25" customHeight="1" x14ac:dyDescent="0.3"/>
    <row r="942" ht="14.25" customHeight="1" x14ac:dyDescent="0.3"/>
    <row r="943" ht="14.25" customHeight="1" x14ac:dyDescent="0.3"/>
    <row r="944" ht="14.25" customHeight="1" x14ac:dyDescent="0.3"/>
    <row r="945" ht="14.25" customHeight="1" x14ac:dyDescent="0.3"/>
    <row r="946" ht="14.25" customHeight="1" x14ac:dyDescent="0.3"/>
    <row r="947" ht="14.25" customHeight="1" x14ac:dyDescent="0.3"/>
    <row r="948" ht="14.25" customHeight="1" x14ac:dyDescent="0.3"/>
    <row r="949" ht="14.25" customHeight="1" x14ac:dyDescent="0.3"/>
    <row r="950" ht="14.25" customHeight="1" x14ac:dyDescent="0.3"/>
    <row r="951" ht="14.25" customHeight="1" x14ac:dyDescent="0.3"/>
    <row r="952" ht="14.25" customHeight="1" x14ac:dyDescent="0.3"/>
    <row r="953" ht="14.25" customHeight="1" x14ac:dyDescent="0.3"/>
    <row r="954" ht="14.25" customHeight="1" x14ac:dyDescent="0.3"/>
    <row r="955" ht="14.25" customHeight="1" x14ac:dyDescent="0.3"/>
    <row r="956" ht="14.25" customHeight="1" x14ac:dyDescent="0.3"/>
    <row r="957" ht="14.25" customHeight="1" x14ac:dyDescent="0.3"/>
    <row r="958" ht="14.25" customHeight="1" x14ac:dyDescent="0.3"/>
    <row r="959" ht="14.25" customHeight="1" x14ac:dyDescent="0.3"/>
    <row r="960" ht="14.25" customHeight="1" x14ac:dyDescent="0.3"/>
    <row r="961" ht="14.25" customHeight="1" x14ac:dyDescent="0.3"/>
    <row r="962" ht="14.25" customHeight="1" x14ac:dyDescent="0.3"/>
    <row r="963" ht="14.25" customHeight="1" x14ac:dyDescent="0.3"/>
    <row r="964" ht="14.25" customHeight="1" x14ac:dyDescent="0.3"/>
    <row r="965" ht="14.25" customHeight="1" x14ac:dyDescent="0.3"/>
    <row r="966" ht="14.25" customHeight="1" x14ac:dyDescent="0.3"/>
    <row r="967" ht="14.25" customHeight="1" x14ac:dyDescent="0.3"/>
    <row r="968" ht="14.25" customHeight="1" x14ac:dyDescent="0.3"/>
    <row r="969" ht="14.25" customHeight="1" x14ac:dyDescent="0.3"/>
    <row r="970" ht="14.25" customHeight="1" x14ac:dyDescent="0.3"/>
    <row r="971" ht="14.25" customHeight="1" x14ac:dyDescent="0.3"/>
    <row r="972" ht="14.25" customHeight="1" x14ac:dyDescent="0.3"/>
    <row r="973" ht="14.25" customHeight="1" x14ac:dyDescent="0.3"/>
    <row r="974" ht="14.25" customHeight="1" x14ac:dyDescent="0.3"/>
    <row r="975" ht="14.25" customHeight="1" x14ac:dyDescent="0.3"/>
    <row r="976" ht="14.25" customHeight="1" x14ac:dyDescent="0.3"/>
    <row r="977" ht="14.25" customHeight="1" x14ac:dyDescent="0.3"/>
    <row r="978" ht="14.25" customHeight="1" x14ac:dyDescent="0.3"/>
    <row r="979" ht="14.25" customHeight="1" x14ac:dyDescent="0.3"/>
    <row r="980" ht="14.25" customHeight="1" x14ac:dyDescent="0.3"/>
    <row r="981" ht="14.25" customHeight="1" x14ac:dyDescent="0.3"/>
    <row r="982" ht="14.25" customHeight="1" x14ac:dyDescent="0.3"/>
    <row r="983" ht="14.25" customHeight="1" x14ac:dyDescent="0.3"/>
    <row r="984" ht="14.25" customHeight="1" x14ac:dyDescent="0.3"/>
    <row r="985" ht="14.25" customHeight="1" x14ac:dyDescent="0.3"/>
    <row r="986" ht="14.25" customHeight="1" x14ac:dyDescent="0.3"/>
    <row r="987" ht="14.25" customHeight="1" x14ac:dyDescent="0.3"/>
    <row r="988" ht="14.25" customHeight="1" x14ac:dyDescent="0.3"/>
    <row r="989" ht="14.25" customHeight="1" x14ac:dyDescent="0.3"/>
    <row r="990" ht="14.25" customHeight="1" x14ac:dyDescent="0.3"/>
    <row r="991" ht="14.25" customHeight="1" x14ac:dyDescent="0.3"/>
    <row r="992" ht="14.25" customHeight="1" x14ac:dyDescent="0.3"/>
    <row r="993" ht="14.25" customHeight="1" x14ac:dyDescent="0.3"/>
    <row r="994" ht="14.25" customHeight="1" x14ac:dyDescent="0.3"/>
    <row r="995" ht="14.25" customHeight="1" x14ac:dyDescent="0.3"/>
    <row r="996" ht="14.25" customHeight="1" x14ac:dyDescent="0.3"/>
    <row r="997" ht="14.25" customHeight="1" x14ac:dyDescent="0.3"/>
    <row r="998" ht="14.25" customHeight="1" x14ac:dyDescent="0.3"/>
    <row r="999" ht="14.25" customHeight="1" x14ac:dyDescent="0.3"/>
    <row r="1000" ht="14.25" customHeight="1" x14ac:dyDescent="0.3"/>
    <row r="1001" ht="14.25" customHeight="1" x14ac:dyDescent="0.3"/>
    <row r="1002" ht="14.25" customHeight="1" x14ac:dyDescent="0.3"/>
    <row r="1003" ht="14.25" customHeight="1" x14ac:dyDescent="0.3"/>
  </sheetData>
  <pageMargins left="0.7" right="0.7" top="0.75" bottom="0.75" header="0" footer="0"/>
  <pageSetup orientation="landscape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C1:D1002"/>
  <sheetViews>
    <sheetView workbookViewId="0">
      <selection activeCell="I22" sqref="I22"/>
    </sheetView>
  </sheetViews>
  <sheetFormatPr defaultColWidth="14.44140625" defaultRowHeight="15" customHeight="1" x14ac:dyDescent="0.3"/>
  <cols>
    <col min="1" max="2" width="8.6640625" customWidth="1"/>
    <col min="3" max="3" width="14.6640625" customWidth="1"/>
    <col min="4" max="4" width="16.33203125" customWidth="1"/>
    <col min="5" max="26" width="8.6640625" customWidth="1"/>
  </cols>
  <sheetData>
    <row r="1" spans="3:4" ht="14.25" customHeight="1" x14ac:dyDescent="0.3"/>
    <row r="2" spans="3:4" ht="14.25" customHeight="1" x14ac:dyDescent="0.3">
      <c r="C2" s="1" t="s">
        <v>0</v>
      </c>
      <c r="D2" s="1" t="s">
        <v>2</v>
      </c>
    </row>
    <row r="3" spans="3:4" ht="14.25" customHeight="1" x14ac:dyDescent="0.3">
      <c r="C3" s="2" t="s">
        <v>17</v>
      </c>
      <c r="D3" s="2">
        <f>SUM(Sheet1!G2:G3)</f>
        <v>6.12</v>
      </c>
    </row>
    <row r="4" spans="3:4" ht="14.25" customHeight="1" x14ac:dyDescent="0.3">
      <c r="C4" s="2" t="s">
        <v>6</v>
      </c>
      <c r="D4" s="2">
        <f>Sheet1!G5</f>
        <v>37</v>
      </c>
    </row>
    <row r="5" spans="3:4" ht="14.25" customHeight="1" x14ac:dyDescent="0.3">
      <c r="C5" s="2" t="s">
        <v>13</v>
      </c>
      <c r="D5" s="2">
        <f>Sheet1!G6</f>
        <v>0</v>
      </c>
    </row>
    <row r="6" spans="3:4" ht="14.25" customHeight="1" x14ac:dyDescent="0.3">
      <c r="C6" s="2" t="s">
        <v>14</v>
      </c>
      <c r="D6" s="2">
        <f>(Sheet1!G7)</f>
        <v>0</v>
      </c>
    </row>
    <row r="7" spans="3:4" ht="14.25" customHeight="1" x14ac:dyDescent="0.3">
      <c r="C7" s="2" t="s">
        <v>8</v>
      </c>
      <c r="D7" s="2">
        <f>(Sheet1!G8)</f>
        <v>0</v>
      </c>
    </row>
    <row r="8" spans="3:4" ht="14.25" customHeight="1" x14ac:dyDescent="0.3">
      <c r="C8" s="2" t="s">
        <v>10</v>
      </c>
      <c r="D8" s="2">
        <f>(Sheet1!G9)</f>
        <v>0</v>
      </c>
    </row>
    <row r="9" spans="3:4" ht="14.25" customHeight="1" x14ac:dyDescent="0.3">
      <c r="C9" s="2" t="s">
        <v>16</v>
      </c>
      <c r="D9" s="2">
        <f>SUM(Sheet1!G10:G11)</f>
        <v>55</v>
      </c>
    </row>
    <row r="10" spans="3:4" ht="14.25" customHeight="1" x14ac:dyDescent="0.3">
      <c r="C10" s="2" t="s">
        <v>11</v>
      </c>
      <c r="D10" s="2">
        <f>SUM(Sheet1!G12:G13)</f>
        <v>1</v>
      </c>
    </row>
    <row r="11" spans="3:4" ht="14.25" customHeight="1" x14ac:dyDescent="0.3">
      <c r="C11" s="2" t="s">
        <v>19</v>
      </c>
      <c r="D11" s="2">
        <f>(Sheet1!G14)</f>
        <v>108</v>
      </c>
    </row>
    <row r="12" spans="3:4" ht="14.25" customHeight="1" x14ac:dyDescent="0.3">
      <c r="C12" s="2" t="s">
        <v>41</v>
      </c>
      <c r="D12" s="2">
        <f>Sheet1!G16</f>
        <v>0</v>
      </c>
    </row>
    <row r="13" spans="3:4" ht="14.25" customHeight="1" x14ac:dyDescent="0.3">
      <c r="C13" s="2" t="s">
        <v>42</v>
      </c>
      <c r="D13" s="29">
        <f>Sheet1!G15</f>
        <v>14</v>
      </c>
    </row>
    <row r="14" spans="3:4" ht="14.25" customHeight="1" x14ac:dyDescent="0.3">
      <c r="C14" s="25" t="s">
        <v>40</v>
      </c>
      <c r="D14">
        <f>Sheet1!G5</f>
        <v>37</v>
      </c>
    </row>
    <row r="15" spans="3:4" ht="14.25" customHeight="1" x14ac:dyDescent="0.3">
      <c r="C15" s="28"/>
      <c r="D15" s="28"/>
    </row>
    <row r="16" spans="3:4" ht="14.25" customHeight="1" x14ac:dyDescent="0.3">
      <c r="D16">
        <f>SUM(D3:D15)</f>
        <v>258.12</v>
      </c>
    </row>
    <row r="17" spans="4:4" ht="14.25" customHeight="1" x14ac:dyDescent="0.3"/>
    <row r="18" spans="4:4" ht="14.25" customHeight="1" x14ac:dyDescent="0.3">
      <c r="D18" s="13"/>
    </row>
    <row r="19" spans="4:4" ht="14.25" customHeight="1" x14ac:dyDescent="0.3"/>
    <row r="20" spans="4:4" ht="14.25" customHeight="1" x14ac:dyDescent="0.3"/>
    <row r="21" spans="4:4" ht="14.25" customHeight="1" x14ac:dyDescent="0.3"/>
    <row r="22" spans="4:4" ht="14.25" customHeight="1" x14ac:dyDescent="0.3"/>
    <row r="23" spans="4:4" ht="14.25" customHeight="1" x14ac:dyDescent="0.3"/>
    <row r="24" spans="4:4" ht="14.25" customHeight="1" x14ac:dyDescent="0.3"/>
    <row r="25" spans="4:4" ht="14.25" customHeight="1" x14ac:dyDescent="0.3"/>
    <row r="26" spans="4:4" ht="14.25" customHeight="1" x14ac:dyDescent="0.3"/>
    <row r="27" spans="4:4" ht="14.25" customHeight="1" x14ac:dyDescent="0.3"/>
    <row r="28" spans="4:4" ht="14.25" customHeight="1" x14ac:dyDescent="0.3"/>
    <row r="29" spans="4:4" ht="14.25" customHeight="1" x14ac:dyDescent="0.3"/>
    <row r="30" spans="4:4" ht="14.25" customHeight="1" x14ac:dyDescent="0.3"/>
    <row r="31" spans="4:4" ht="14.25" customHeight="1" x14ac:dyDescent="0.3"/>
    <row r="32" spans="4:4" ht="14.25" customHeight="1" x14ac:dyDescent="0.3"/>
    <row r="33" ht="14.25" customHeight="1" x14ac:dyDescent="0.3"/>
    <row r="34" ht="14.25" customHeight="1" x14ac:dyDescent="0.3"/>
    <row r="35" ht="14.25" customHeight="1" x14ac:dyDescent="0.3"/>
    <row r="36" ht="14.25" customHeight="1" x14ac:dyDescent="0.3"/>
    <row r="37" ht="14.25" customHeight="1" x14ac:dyDescent="0.3"/>
    <row r="38" ht="14.25" customHeight="1" x14ac:dyDescent="0.3"/>
    <row r="39" ht="14.25" customHeight="1" x14ac:dyDescent="0.3"/>
    <row r="40" ht="14.25" customHeight="1" x14ac:dyDescent="0.3"/>
    <row r="41" ht="14.25" customHeight="1" x14ac:dyDescent="0.3"/>
    <row r="42" ht="14.25" customHeight="1" x14ac:dyDescent="0.3"/>
    <row r="43" ht="14.25" customHeight="1" x14ac:dyDescent="0.3"/>
    <row r="44" ht="14.25" customHeight="1" x14ac:dyDescent="0.3"/>
    <row r="45" ht="14.25" customHeight="1" x14ac:dyDescent="0.3"/>
    <row r="46" ht="14.25" customHeight="1" x14ac:dyDescent="0.3"/>
    <row r="47" ht="14.25" customHeight="1" x14ac:dyDescent="0.3"/>
    <row r="48" ht="14.25" customHeight="1" x14ac:dyDescent="0.3"/>
    <row r="49" ht="14.25" customHeight="1" x14ac:dyDescent="0.3"/>
    <row r="50" ht="14.25" customHeight="1" x14ac:dyDescent="0.3"/>
    <row r="51" ht="14.25" customHeight="1" x14ac:dyDescent="0.3"/>
    <row r="52" ht="14.25" customHeight="1" x14ac:dyDescent="0.3"/>
    <row r="53" ht="14.25" customHeight="1" x14ac:dyDescent="0.3"/>
    <row r="54" ht="14.25" customHeight="1" x14ac:dyDescent="0.3"/>
    <row r="55" ht="14.25" customHeight="1" x14ac:dyDescent="0.3"/>
    <row r="56" ht="14.25" customHeight="1" x14ac:dyDescent="0.3"/>
    <row r="57" ht="14.25" customHeight="1" x14ac:dyDescent="0.3"/>
    <row r="58" ht="14.25" customHeight="1" x14ac:dyDescent="0.3"/>
    <row r="59" ht="14.25" customHeight="1" x14ac:dyDescent="0.3"/>
    <row r="60" ht="14.25" customHeight="1" x14ac:dyDescent="0.3"/>
    <row r="61" ht="14.25" customHeight="1" x14ac:dyDescent="0.3"/>
    <row r="62" ht="14.25" customHeight="1" x14ac:dyDescent="0.3"/>
    <row r="63" ht="14.25" customHeight="1" x14ac:dyDescent="0.3"/>
    <row r="64" ht="14.25" customHeight="1" x14ac:dyDescent="0.3"/>
    <row r="65" ht="14.25" customHeight="1" x14ac:dyDescent="0.3"/>
    <row r="66" ht="14.25" customHeight="1" x14ac:dyDescent="0.3"/>
    <row r="67" ht="14.25" customHeight="1" x14ac:dyDescent="0.3"/>
    <row r="68" ht="14.25" customHeight="1" x14ac:dyDescent="0.3"/>
    <row r="69" ht="14.25" customHeight="1" x14ac:dyDescent="0.3"/>
    <row r="70" ht="14.25" customHeight="1" x14ac:dyDescent="0.3"/>
    <row r="71" ht="14.25" customHeight="1" x14ac:dyDescent="0.3"/>
    <row r="72" ht="14.25" customHeight="1" x14ac:dyDescent="0.3"/>
    <row r="73" ht="14.25" customHeight="1" x14ac:dyDescent="0.3"/>
    <row r="74" ht="14.25" customHeight="1" x14ac:dyDescent="0.3"/>
    <row r="75" ht="14.25" customHeight="1" x14ac:dyDescent="0.3"/>
    <row r="76" ht="14.25" customHeight="1" x14ac:dyDescent="0.3"/>
    <row r="77" ht="14.25" customHeight="1" x14ac:dyDescent="0.3"/>
    <row r="78" ht="14.25" customHeight="1" x14ac:dyDescent="0.3"/>
    <row r="79" ht="14.25" customHeight="1" x14ac:dyDescent="0.3"/>
    <row r="80" ht="14.25" customHeight="1" x14ac:dyDescent="0.3"/>
    <row r="81" ht="14.25" customHeight="1" x14ac:dyDescent="0.3"/>
    <row r="82" ht="14.25" customHeight="1" x14ac:dyDescent="0.3"/>
    <row r="83" ht="14.25" customHeight="1" x14ac:dyDescent="0.3"/>
    <row r="84" ht="14.25" customHeight="1" x14ac:dyDescent="0.3"/>
    <row r="85" ht="14.25" customHeight="1" x14ac:dyDescent="0.3"/>
    <row r="86" ht="14.25" customHeight="1" x14ac:dyDescent="0.3"/>
    <row r="87" ht="14.25" customHeight="1" x14ac:dyDescent="0.3"/>
    <row r="88" ht="14.25" customHeight="1" x14ac:dyDescent="0.3"/>
    <row r="89" ht="14.25" customHeight="1" x14ac:dyDescent="0.3"/>
    <row r="90" ht="14.25" customHeight="1" x14ac:dyDescent="0.3"/>
    <row r="91" ht="14.25" customHeight="1" x14ac:dyDescent="0.3"/>
    <row r="92" ht="14.25" customHeight="1" x14ac:dyDescent="0.3"/>
    <row r="93" ht="14.25" customHeight="1" x14ac:dyDescent="0.3"/>
    <row r="94" ht="14.25" customHeight="1" x14ac:dyDescent="0.3"/>
    <row r="95" ht="14.25" customHeight="1" x14ac:dyDescent="0.3"/>
    <row r="96" ht="14.25" customHeight="1" x14ac:dyDescent="0.3"/>
    <row r="97" ht="14.25" customHeight="1" x14ac:dyDescent="0.3"/>
    <row r="98" ht="14.25" customHeight="1" x14ac:dyDescent="0.3"/>
    <row r="99" ht="14.25" customHeight="1" x14ac:dyDescent="0.3"/>
    <row r="100" ht="14.25" customHeight="1" x14ac:dyDescent="0.3"/>
    <row r="101" ht="14.25" customHeight="1" x14ac:dyDescent="0.3"/>
    <row r="102" ht="14.25" customHeight="1" x14ac:dyDescent="0.3"/>
    <row r="103" ht="14.25" customHeight="1" x14ac:dyDescent="0.3"/>
    <row r="104" ht="14.25" customHeight="1" x14ac:dyDescent="0.3"/>
    <row r="105" ht="14.25" customHeight="1" x14ac:dyDescent="0.3"/>
    <row r="106" ht="14.25" customHeight="1" x14ac:dyDescent="0.3"/>
    <row r="107" ht="14.25" customHeight="1" x14ac:dyDescent="0.3"/>
    <row r="108" ht="14.25" customHeight="1" x14ac:dyDescent="0.3"/>
    <row r="109" ht="14.25" customHeight="1" x14ac:dyDescent="0.3"/>
    <row r="110" ht="14.25" customHeight="1" x14ac:dyDescent="0.3"/>
    <row r="111" ht="14.25" customHeight="1" x14ac:dyDescent="0.3"/>
    <row r="112" ht="14.25" customHeight="1" x14ac:dyDescent="0.3"/>
    <row r="113" ht="14.25" customHeight="1" x14ac:dyDescent="0.3"/>
    <row r="114" ht="14.25" customHeight="1" x14ac:dyDescent="0.3"/>
    <row r="115" ht="14.25" customHeight="1" x14ac:dyDescent="0.3"/>
    <row r="116" ht="14.25" customHeight="1" x14ac:dyDescent="0.3"/>
    <row r="117" ht="14.25" customHeight="1" x14ac:dyDescent="0.3"/>
    <row r="118" ht="14.25" customHeight="1" x14ac:dyDescent="0.3"/>
    <row r="119" ht="14.25" customHeight="1" x14ac:dyDescent="0.3"/>
    <row r="120" ht="14.25" customHeight="1" x14ac:dyDescent="0.3"/>
    <row r="121" ht="14.25" customHeight="1" x14ac:dyDescent="0.3"/>
    <row r="122" ht="14.25" customHeight="1" x14ac:dyDescent="0.3"/>
    <row r="123" ht="14.25" customHeight="1" x14ac:dyDescent="0.3"/>
    <row r="124" ht="14.25" customHeight="1" x14ac:dyDescent="0.3"/>
    <row r="125" ht="14.25" customHeight="1" x14ac:dyDescent="0.3"/>
    <row r="126" ht="14.25" customHeight="1" x14ac:dyDescent="0.3"/>
    <row r="127" ht="14.25" customHeight="1" x14ac:dyDescent="0.3"/>
    <row r="128" ht="14.25" customHeight="1" x14ac:dyDescent="0.3"/>
    <row r="129" ht="14.25" customHeight="1" x14ac:dyDescent="0.3"/>
    <row r="130" ht="14.25" customHeight="1" x14ac:dyDescent="0.3"/>
    <row r="131" ht="14.25" customHeight="1" x14ac:dyDescent="0.3"/>
    <row r="132" ht="14.25" customHeight="1" x14ac:dyDescent="0.3"/>
    <row r="133" ht="14.25" customHeight="1" x14ac:dyDescent="0.3"/>
    <row r="134" ht="14.25" customHeight="1" x14ac:dyDescent="0.3"/>
    <row r="135" ht="14.25" customHeight="1" x14ac:dyDescent="0.3"/>
    <row r="136" ht="14.25" customHeight="1" x14ac:dyDescent="0.3"/>
    <row r="137" ht="14.25" customHeight="1" x14ac:dyDescent="0.3"/>
    <row r="138" ht="14.25" customHeight="1" x14ac:dyDescent="0.3"/>
    <row r="139" ht="14.25" customHeight="1" x14ac:dyDescent="0.3"/>
    <row r="140" ht="14.25" customHeight="1" x14ac:dyDescent="0.3"/>
    <row r="141" ht="14.25" customHeight="1" x14ac:dyDescent="0.3"/>
    <row r="142" ht="14.25" customHeight="1" x14ac:dyDescent="0.3"/>
    <row r="143" ht="14.25" customHeight="1" x14ac:dyDescent="0.3"/>
    <row r="144" ht="14.25" customHeight="1" x14ac:dyDescent="0.3"/>
    <row r="145" ht="14.25" customHeight="1" x14ac:dyDescent="0.3"/>
    <row r="146" ht="14.25" customHeight="1" x14ac:dyDescent="0.3"/>
    <row r="147" ht="14.25" customHeight="1" x14ac:dyDescent="0.3"/>
    <row r="148" ht="14.25" customHeight="1" x14ac:dyDescent="0.3"/>
    <row r="149" ht="14.25" customHeight="1" x14ac:dyDescent="0.3"/>
    <row r="150" ht="14.25" customHeight="1" x14ac:dyDescent="0.3"/>
    <row r="151" ht="14.25" customHeight="1" x14ac:dyDescent="0.3"/>
    <row r="152" ht="14.25" customHeight="1" x14ac:dyDescent="0.3"/>
    <row r="153" ht="14.25" customHeight="1" x14ac:dyDescent="0.3"/>
    <row r="154" ht="14.25" customHeight="1" x14ac:dyDescent="0.3"/>
    <row r="155" ht="14.25" customHeight="1" x14ac:dyDescent="0.3"/>
    <row r="156" ht="14.25" customHeight="1" x14ac:dyDescent="0.3"/>
    <row r="157" ht="14.25" customHeight="1" x14ac:dyDescent="0.3"/>
    <row r="158" ht="14.25" customHeight="1" x14ac:dyDescent="0.3"/>
    <row r="159" ht="14.25" customHeight="1" x14ac:dyDescent="0.3"/>
    <row r="160" ht="14.25" customHeight="1" x14ac:dyDescent="0.3"/>
    <row r="161" ht="14.25" customHeight="1" x14ac:dyDescent="0.3"/>
    <row r="162" ht="14.25" customHeight="1" x14ac:dyDescent="0.3"/>
    <row r="163" ht="14.25" customHeight="1" x14ac:dyDescent="0.3"/>
    <row r="164" ht="14.25" customHeight="1" x14ac:dyDescent="0.3"/>
    <row r="165" ht="14.25" customHeight="1" x14ac:dyDescent="0.3"/>
    <row r="166" ht="14.25" customHeight="1" x14ac:dyDescent="0.3"/>
    <row r="167" ht="14.25" customHeight="1" x14ac:dyDescent="0.3"/>
    <row r="168" ht="14.25" customHeight="1" x14ac:dyDescent="0.3"/>
    <row r="169" ht="14.25" customHeight="1" x14ac:dyDescent="0.3"/>
    <row r="170" ht="14.25" customHeight="1" x14ac:dyDescent="0.3"/>
    <row r="171" ht="14.25" customHeight="1" x14ac:dyDescent="0.3"/>
    <row r="172" ht="14.25" customHeight="1" x14ac:dyDescent="0.3"/>
    <row r="173" ht="14.25" customHeight="1" x14ac:dyDescent="0.3"/>
    <row r="174" ht="14.25" customHeight="1" x14ac:dyDescent="0.3"/>
    <row r="175" ht="14.25" customHeight="1" x14ac:dyDescent="0.3"/>
    <row r="176" ht="14.25" customHeight="1" x14ac:dyDescent="0.3"/>
    <row r="177" ht="14.25" customHeight="1" x14ac:dyDescent="0.3"/>
    <row r="178" ht="14.25" customHeight="1" x14ac:dyDescent="0.3"/>
    <row r="179" ht="14.25" customHeight="1" x14ac:dyDescent="0.3"/>
    <row r="180" ht="14.25" customHeight="1" x14ac:dyDescent="0.3"/>
    <row r="181" ht="14.25" customHeight="1" x14ac:dyDescent="0.3"/>
    <row r="182" ht="14.25" customHeight="1" x14ac:dyDescent="0.3"/>
    <row r="183" ht="14.25" customHeight="1" x14ac:dyDescent="0.3"/>
    <row r="184" ht="14.25" customHeight="1" x14ac:dyDescent="0.3"/>
    <row r="185" ht="14.25" customHeight="1" x14ac:dyDescent="0.3"/>
    <row r="186" ht="14.25" customHeight="1" x14ac:dyDescent="0.3"/>
    <row r="187" ht="14.25" customHeight="1" x14ac:dyDescent="0.3"/>
    <row r="188" ht="14.25" customHeight="1" x14ac:dyDescent="0.3"/>
    <row r="189" ht="14.25" customHeight="1" x14ac:dyDescent="0.3"/>
    <row r="190" ht="14.25" customHeight="1" x14ac:dyDescent="0.3"/>
    <row r="191" ht="14.25" customHeight="1" x14ac:dyDescent="0.3"/>
    <row r="192" ht="14.25" customHeight="1" x14ac:dyDescent="0.3"/>
    <row r="193" ht="14.25" customHeight="1" x14ac:dyDescent="0.3"/>
    <row r="194" ht="14.25" customHeight="1" x14ac:dyDescent="0.3"/>
    <row r="195" ht="14.25" customHeight="1" x14ac:dyDescent="0.3"/>
    <row r="196" ht="14.25" customHeight="1" x14ac:dyDescent="0.3"/>
    <row r="197" ht="14.25" customHeight="1" x14ac:dyDescent="0.3"/>
    <row r="198" ht="14.25" customHeight="1" x14ac:dyDescent="0.3"/>
    <row r="199" ht="14.25" customHeight="1" x14ac:dyDescent="0.3"/>
    <row r="200" ht="14.25" customHeight="1" x14ac:dyDescent="0.3"/>
    <row r="201" ht="14.25" customHeight="1" x14ac:dyDescent="0.3"/>
    <row r="202" ht="14.25" customHeight="1" x14ac:dyDescent="0.3"/>
    <row r="203" ht="14.25" customHeight="1" x14ac:dyDescent="0.3"/>
    <row r="204" ht="14.25" customHeight="1" x14ac:dyDescent="0.3"/>
    <row r="205" ht="14.25" customHeight="1" x14ac:dyDescent="0.3"/>
    <row r="206" ht="14.25" customHeight="1" x14ac:dyDescent="0.3"/>
    <row r="207" ht="14.25" customHeight="1" x14ac:dyDescent="0.3"/>
    <row r="208" ht="14.25" customHeight="1" x14ac:dyDescent="0.3"/>
    <row r="209" ht="14.25" customHeight="1" x14ac:dyDescent="0.3"/>
    <row r="210" ht="14.25" customHeight="1" x14ac:dyDescent="0.3"/>
    <row r="211" ht="14.25" customHeight="1" x14ac:dyDescent="0.3"/>
    <row r="212" ht="14.25" customHeight="1" x14ac:dyDescent="0.3"/>
    <row r="213" ht="14.25" customHeight="1" x14ac:dyDescent="0.3"/>
    <row r="214" ht="14.25" customHeight="1" x14ac:dyDescent="0.3"/>
    <row r="215" ht="14.25" customHeight="1" x14ac:dyDescent="0.3"/>
    <row r="216" ht="14.25" customHeight="1" x14ac:dyDescent="0.3"/>
    <row r="217" ht="14.25" customHeight="1" x14ac:dyDescent="0.3"/>
    <row r="218" ht="14.25" customHeight="1" x14ac:dyDescent="0.3"/>
    <row r="219" ht="14.25" customHeight="1" x14ac:dyDescent="0.3"/>
    <row r="220" ht="14.25" customHeight="1" x14ac:dyDescent="0.3"/>
    <row r="221" ht="14.25" customHeight="1" x14ac:dyDescent="0.3"/>
    <row r="222" ht="14.25" customHeight="1" x14ac:dyDescent="0.3"/>
    <row r="223" ht="14.25" customHeight="1" x14ac:dyDescent="0.3"/>
    <row r="224" ht="14.25" customHeight="1" x14ac:dyDescent="0.3"/>
    <row r="225" ht="14.25" customHeight="1" x14ac:dyDescent="0.3"/>
    <row r="226" ht="14.25" customHeight="1" x14ac:dyDescent="0.3"/>
    <row r="227" ht="14.25" customHeight="1" x14ac:dyDescent="0.3"/>
    <row r="228" ht="14.25" customHeight="1" x14ac:dyDescent="0.3"/>
    <row r="229" ht="14.25" customHeight="1" x14ac:dyDescent="0.3"/>
    <row r="230" ht="14.25" customHeight="1" x14ac:dyDescent="0.3"/>
    <row r="231" ht="14.25" customHeight="1" x14ac:dyDescent="0.3"/>
    <row r="232" ht="14.25" customHeight="1" x14ac:dyDescent="0.3"/>
    <row r="233" ht="14.25" customHeight="1" x14ac:dyDescent="0.3"/>
    <row r="234" ht="14.25" customHeight="1" x14ac:dyDescent="0.3"/>
    <row r="235" ht="14.25" customHeight="1" x14ac:dyDescent="0.3"/>
    <row r="236" ht="14.25" customHeight="1" x14ac:dyDescent="0.3"/>
    <row r="237" ht="14.25" customHeight="1" x14ac:dyDescent="0.3"/>
    <row r="238" ht="14.25" customHeight="1" x14ac:dyDescent="0.3"/>
    <row r="239" ht="14.25" customHeight="1" x14ac:dyDescent="0.3"/>
    <row r="240" ht="14.25" customHeight="1" x14ac:dyDescent="0.3"/>
    <row r="241" ht="14.25" customHeight="1" x14ac:dyDescent="0.3"/>
    <row r="242" ht="14.25" customHeight="1" x14ac:dyDescent="0.3"/>
    <row r="243" ht="14.25" customHeight="1" x14ac:dyDescent="0.3"/>
    <row r="244" ht="14.25" customHeight="1" x14ac:dyDescent="0.3"/>
    <row r="245" ht="14.25" customHeight="1" x14ac:dyDescent="0.3"/>
    <row r="246" ht="14.25" customHeight="1" x14ac:dyDescent="0.3"/>
    <row r="247" ht="14.25" customHeight="1" x14ac:dyDescent="0.3"/>
    <row r="248" ht="14.25" customHeight="1" x14ac:dyDescent="0.3"/>
    <row r="249" ht="14.25" customHeight="1" x14ac:dyDescent="0.3"/>
    <row r="250" ht="14.25" customHeight="1" x14ac:dyDescent="0.3"/>
    <row r="251" ht="14.25" customHeight="1" x14ac:dyDescent="0.3"/>
    <row r="252" ht="14.25" customHeight="1" x14ac:dyDescent="0.3"/>
    <row r="253" ht="14.25" customHeight="1" x14ac:dyDescent="0.3"/>
    <row r="254" ht="14.25" customHeight="1" x14ac:dyDescent="0.3"/>
    <row r="255" ht="14.25" customHeight="1" x14ac:dyDescent="0.3"/>
    <row r="256" ht="14.25" customHeight="1" x14ac:dyDescent="0.3"/>
    <row r="257" ht="14.25" customHeight="1" x14ac:dyDescent="0.3"/>
    <row r="258" ht="14.25" customHeight="1" x14ac:dyDescent="0.3"/>
    <row r="259" ht="14.25" customHeight="1" x14ac:dyDescent="0.3"/>
    <row r="260" ht="14.25" customHeight="1" x14ac:dyDescent="0.3"/>
    <row r="261" ht="14.25" customHeight="1" x14ac:dyDescent="0.3"/>
    <row r="262" ht="14.25" customHeight="1" x14ac:dyDescent="0.3"/>
    <row r="263" ht="14.25" customHeight="1" x14ac:dyDescent="0.3"/>
    <row r="264" ht="14.25" customHeight="1" x14ac:dyDescent="0.3"/>
    <row r="265" ht="14.25" customHeight="1" x14ac:dyDescent="0.3"/>
    <row r="266" ht="14.25" customHeight="1" x14ac:dyDescent="0.3"/>
    <row r="267" ht="14.25" customHeight="1" x14ac:dyDescent="0.3"/>
    <row r="268" ht="14.25" customHeight="1" x14ac:dyDescent="0.3"/>
    <row r="269" ht="14.25" customHeight="1" x14ac:dyDescent="0.3"/>
    <row r="270" ht="14.25" customHeight="1" x14ac:dyDescent="0.3"/>
    <row r="271" ht="14.25" customHeight="1" x14ac:dyDescent="0.3"/>
    <row r="272" ht="14.25" customHeight="1" x14ac:dyDescent="0.3"/>
    <row r="273" ht="14.25" customHeight="1" x14ac:dyDescent="0.3"/>
    <row r="274" ht="14.25" customHeight="1" x14ac:dyDescent="0.3"/>
    <row r="275" ht="14.25" customHeight="1" x14ac:dyDescent="0.3"/>
    <row r="276" ht="14.25" customHeight="1" x14ac:dyDescent="0.3"/>
    <row r="277" ht="14.25" customHeight="1" x14ac:dyDescent="0.3"/>
    <row r="278" ht="14.25" customHeight="1" x14ac:dyDescent="0.3"/>
    <row r="279" ht="14.25" customHeight="1" x14ac:dyDescent="0.3"/>
    <row r="280" ht="14.25" customHeight="1" x14ac:dyDescent="0.3"/>
    <row r="281" ht="14.25" customHeight="1" x14ac:dyDescent="0.3"/>
    <row r="282" ht="14.25" customHeight="1" x14ac:dyDescent="0.3"/>
    <row r="283" ht="14.25" customHeight="1" x14ac:dyDescent="0.3"/>
    <row r="284" ht="14.25" customHeight="1" x14ac:dyDescent="0.3"/>
    <row r="285" ht="14.25" customHeight="1" x14ac:dyDescent="0.3"/>
    <row r="286" ht="14.25" customHeight="1" x14ac:dyDescent="0.3"/>
    <row r="287" ht="14.25" customHeight="1" x14ac:dyDescent="0.3"/>
    <row r="288" ht="14.25" customHeight="1" x14ac:dyDescent="0.3"/>
    <row r="289" ht="14.25" customHeight="1" x14ac:dyDescent="0.3"/>
    <row r="290" ht="14.25" customHeight="1" x14ac:dyDescent="0.3"/>
    <row r="291" ht="14.25" customHeight="1" x14ac:dyDescent="0.3"/>
    <row r="292" ht="14.25" customHeight="1" x14ac:dyDescent="0.3"/>
    <row r="293" ht="14.25" customHeight="1" x14ac:dyDescent="0.3"/>
    <row r="294" ht="14.25" customHeight="1" x14ac:dyDescent="0.3"/>
    <row r="295" ht="14.25" customHeight="1" x14ac:dyDescent="0.3"/>
    <row r="296" ht="14.25" customHeight="1" x14ac:dyDescent="0.3"/>
    <row r="297" ht="14.25" customHeight="1" x14ac:dyDescent="0.3"/>
    <row r="298" ht="14.25" customHeight="1" x14ac:dyDescent="0.3"/>
    <row r="299" ht="14.25" customHeight="1" x14ac:dyDescent="0.3"/>
    <row r="300" ht="14.25" customHeight="1" x14ac:dyDescent="0.3"/>
    <row r="301" ht="14.25" customHeight="1" x14ac:dyDescent="0.3"/>
    <row r="302" ht="14.25" customHeight="1" x14ac:dyDescent="0.3"/>
    <row r="303" ht="14.25" customHeight="1" x14ac:dyDescent="0.3"/>
    <row r="304" ht="14.25" customHeight="1" x14ac:dyDescent="0.3"/>
    <row r="305" ht="14.25" customHeight="1" x14ac:dyDescent="0.3"/>
    <row r="306" ht="14.25" customHeight="1" x14ac:dyDescent="0.3"/>
    <row r="307" ht="14.25" customHeight="1" x14ac:dyDescent="0.3"/>
    <row r="308" ht="14.25" customHeight="1" x14ac:dyDescent="0.3"/>
    <row r="309" ht="14.25" customHeight="1" x14ac:dyDescent="0.3"/>
    <row r="310" ht="14.25" customHeight="1" x14ac:dyDescent="0.3"/>
    <row r="311" ht="14.25" customHeight="1" x14ac:dyDescent="0.3"/>
    <row r="312" ht="14.25" customHeight="1" x14ac:dyDescent="0.3"/>
    <row r="313" ht="14.25" customHeight="1" x14ac:dyDescent="0.3"/>
    <row r="314" ht="14.25" customHeight="1" x14ac:dyDescent="0.3"/>
    <row r="315" ht="14.25" customHeight="1" x14ac:dyDescent="0.3"/>
    <row r="316" ht="14.25" customHeight="1" x14ac:dyDescent="0.3"/>
    <row r="317" ht="14.25" customHeight="1" x14ac:dyDescent="0.3"/>
    <row r="318" ht="14.25" customHeight="1" x14ac:dyDescent="0.3"/>
    <row r="319" ht="14.25" customHeight="1" x14ac:dyDescent="0.3"/>
    <row r="320" ht="14.25" customHeight="1" x14ac:dyDescent="0.3"/>
    <row r="321" ht="14.25" customHeight="1" x14ac:dyDescent="0.3"/>
    <row r="322" ht="14.25" customHeight="1" x14ac:dyDescent="0.3"/>
    <row r="323" ht="14.25" customHeight="1" x14ac:dyDescent="0.3"/>
    <row r="324" ht="14.25" customHeight="1" x14ac:dyDescent="0.3"/>
    <row r="325" ht="14.25" customHeight="1" x14ac:dyDescent="0.3"/>
    <row r="326" ht="14.25" customHeight="1" x14ac:dyDescent="0.3"/>
    <row r="327" ht="14.25" customHeight="1" x14ac:dyDescent="0.3"/>
    <row r="328" ht="14.25" customHeight="1" x14ac:dyDescent="0.3"/>
    <row r="329" ht="14.25" customHeight="1" x14ac:dyDescent="0.3"/>
    <row r="330" ht="14.25" customHeight="1" x14ac:dyDescent="0.3"/>
    <row r="331" ht="14.25" customHeight="1" x14ac:dyDescent="0.3"/>
    <row r="332" ht="14.25" customHeight="1" x14ac:dyDescent="0.3"/>
    <row r="333" ht="14.25" customHeight="1" x14ac:dyDescent="0.3"/>
    <row r="334" ht="14.25" customHeight="1" x14ac:dyDescent="0.3"/>
    <row r="335" ht="14.25" customHeight="1" x14ac:dyDescent="0.3"/>
    <row r="336" ht="14.25" customHeight="1" x14ac:dyDescent="0.3"/>
    <row r="337" ht="14.25" customHeight="1" x14ac:dyDescent="0.3"/>
    <row r="338" ht="14.25" customHeight="1" x14ac:dyDescent="0.3"/>
    <row r="339" ht="14.25" customHeight="1" x14ac:dyDescent="0.3"/>
    <row r="340" ht="14.25" customHeight="1" x14ac:dyDescent="0.3"/>
    <row r="341" ht="14.25" customHeight="1" x14ac:dyDescent="0.3"/>
    <row r="342" ht="14.25" customHeight="1" x14ac:dyDescent="0.3"/>
    <row r="343" ht="14.25" customHeight="1" x14ac:dyDescent="0.3"/>
    <row r="344" ht="14.25" customHeight="1" x14ac:dyDescent="0.3"/>
    <row r="345" ht="14.25" customHeight="1" x14ac:dyDescent="0.3"/>
    <row r="346" ht="14.25" customHeight="1" x14ac:dyDescent="0.3"/>
    <row r="347" ht="14.25" customHeight="1" x14ac:dyDescent="0.3"/>
    <row r="348" ht="14.25" customHeight="1" x14ac:dyDescent="0.3"/>
    <row r="349" ht="14.25" customHeight="1" x14ac:dyDescent="0.3"/>
    <row r="350" ht="14.25" customHeight="1" x14ac:dyDescent="0.3"/>
    <row r="351" ht="14.25" customHeight="1" x14ac:dyDescent="0.3"/>
    <row r="352" ht="14.25" customHeight="1" x14ac:dyDescent="0.3"/>
    <row r="353" ht="14.25" customHeight="1" x14ac:dyDescent="0.3"/>
    <row r="354" ht="14.25" customHeight="1" x14ac:dyDescent="0.3"/>
    <row r="355" ht="14.25" customHeight="1" x14ac:dyDescent="0.3"/>
    <row r="356" ht="14.25" customHeight="1" x14ac:dyDescent="0.3"/>
    <row r="357" ht="14.25" customHeight="1" x14ac:dyDescent="0.3"/>
    <row r="358" ht="14.25" customHeight="1" x14ac:dyDescent="0.3"/>
    <row r="359" ht="14.25" customHeight="1" x14ac:dyDescent="0.3"/>
    <row r="360" ht="14.25" customHeight="1" x14ac:dyDescent="0.3"/>
    <row r="361" ht="14.25" customHeight="1" x14ac:dyDescent="0.3"/>
    <row r="362" ht="14.25" customHeight="1" x14ac:dyDescent="0.3"/>
    <row r="363" ht="14.25" customHeight="1" x14ac:dyDescent="0.3"/>
    <row r="364" ht="14.25" customHeight="1" x14ac:dyDescent="0.3"/>
    <row r="365" ht="14.25" customHeight="1" x14ac:dyDescent="0.3"/>
    <row r="366" ht="14.25" customHeight="1" x14ac:dyDescent="0.3"/>
    <row r="367" ht="14.25" customHeight="1" x14ac:dyDescent="0.3"/>
    <row r="368" ht="14.25" customHeight="1" x14ac:dyDescent="0.3"/>
    <row r="369" ht="14.25" customHeight="1" x14ac:dyDescent="0.3"/>
    <row r="370" ht="14.25" customHeight="1" x14ac:dyDescent="0.3"/>
    <row r="371" ht="14.25" customHeight="1" x14ac:dyDescent="0.3"/>
    <row r="372" ht="14.25" customHeight="1" x14ac:dyDescent="0.3"/>
    <row r="373" ht="14.25" customHeight="1" x14ac:dyDescent="0.3"/>
    <row r="374" ht="14.25" customHeight="1" x14ac:dyDescent="0.3"/>
    <row r="375" ht="14.25" customHeight="1" x14ac:dyDescent="0.3"/>
    <row r="376" ht="14.25" customHeight="1" x14ac:dyDescent="0.3"/>
    <row r="377" ht="14.25" customHeight="1" x14ac:dyDescent="0.3"/>
    <row r="378" ht="14.25" customHeight="1" x14ac:dyDescent="0.3"/>
    <row r="379" ht="14.25" customHeight="1" x14ac:dyDescent="0.3"/>
    <row r="380" ht="14.25" customHeight="1" x14ac:dyDescent="0.3"/>
    <row r="381" ht="14.25" customHeight="1" x14ac:dyDescent="0.3"/>
    <row r="382" ht="14.25" customHeight="1" x14ac:dyDescent="0.3"/>
    <row r="383" ht="14.25" customHeight="1" x14ac:dyDescent="0.3"/>
    <row r="384" ht="14.25" customHeight="1" x14ac:dyDescent="0.3"/>
    <row r="385" ht="14.25" customHeight="1" x14ac:dyDescent="0.3"/>
    <row r="386" ht="14.25" customHeight="1" x14ac:dyDescent="0.3"/>
    <row r="387" ht="14.25" customHeight="1" x14ac:dyDescent="0.3"/>
    <row r="388" ht="14.25" customHeight="1" x14ac:dyDescent="0.3"/>
    <row r="389" ht="14.25" customHeight="1" x14ac:dyDescent="0.3"/>
    <row r="390" ht="14.25" customHeight="1" x14ac:dyDescent="0.3"/>
    <row r="391" ht="14.25" customHeight="1" x14ac:dyDescent="0.3"/>
    <row r="392" ht="14.25" customHeight="1" x14ac:dyDescent="0.3"/>
    <row r="393" ht="14.25" customHeight="1" x14ac:dyDescent="0.3"/>
    <row r="394" ht="14.25" customHeight="1" x14ac:dyDescent="0.3"/>
    <row r="395" ht="14.25" customHeight="1" x14ac:dyDescent="0.3"/>
    <row r="396" ht="14.25" customHeight="1" x14ac:dyDescent="0.3"/>
    <row r="397" ht="14.25" customHeight="1" x14ac:dyDescent="0.3"/>
    <row r="398" ht="14.25" customHeight="1" x14ac:dyDescent="0.3"/>
    <row r="399" ht="14.25" customHeight="1" x14ac:dyDescent="0.3"/>
    <row r="400" ht="14.25" customHeight="1" x14ac:dyDescent="0.3"/>
    <row r="401" ht="14.25" customHeight="1" x14ac:dyDescent="0.3"/>
    <row r="402" ht="14.25" customHeight="1" x14ac:dyDescent="0.3"/>
    <row r="403" ht="14.25" customHeight="1" x14ac:dyDescent="0.3"/>
    <row r="404" ht="14.25" customHeight="1" x14ac:dyDescent="0.3"/>
    <row r="405" ht="14.25" customHeight="1" x14ac:dyDescent="0.3"/>
    <row r="406" ht="14.25" customHeight="1" x14ac:dyDescent="0.3"/>
    <row r="407" ht="14.25" customHeight="1" x14ac:dyDescent="0.3"/>
    <row r="408" ht="14.25" customHeight="1" x14ac:dyDescent="0.3"/>
    <row r="409" ht="14.25" customHeight="1" x14ac:dyDescent="0.3"/>
    <row r="410" ht="14.25" customHeight="1" x14ac:dyDescent="0.3"/>
    <row r="411" ht="14.25" customHeight="1" x14ac:dyDescent="0.3"/>
    <row r="412" ht="14.25" customHeight="1" x14ac:dyDescent="0.3"/>
    <row r="413" ht="14.25" customHeight="1" x14ac:dyDescent="0.3"/>
    <row r="414" ht="14.25" customHeight="1" x14ac:dyDescent="0.3"/>
    <row r="415" ht="14.25" customHeight="1" x14ac:dyDescent="0.3"/>
    <row r="416" ht="14.25" customHeight="1" x14ac:dyDescent="0.3"/>
    <row r="417" ht="14.25" customHeight="1" x14ac:dyDescent="0.3"/>
    <row r="418" ht="14.25" customHeight="1" x14ac:dyDescent="0.3"/>
    <row r="419" ht="14.25" customHeight="1" x14ac:dyDescent="0.3"/>
    <row r="420" ht="14.25" customHeight="1" x14ac:dyDescent="0.3"/>
    <row r="421" ht="14.25" customHeight="1" x14ac:dyDescent="0.3"/>
    <row r="422" ht="14.25" customHeight="1" x14ac:dyDescent="0.3"/>
    <row r="423" ht="14.25" customHeight="1" x14ac:dyDescent="0.3"/>
    <row r="424" ht="14.25" customHeight="1" x14ac:dyDescent="0.3"/>
    <row r="425" ht="14.25" customHeight="1" x14ac:dyDescent="0.3"/>
    <row r="426" ht="14.25" customHeight="1" x14ac:dyDescent="0.3"/>
    <row r="427" ht="14.25" customHeight="1" x14ac:dyDescent="0.3"/>
    <row r="428" ht="14.25" customHeight="1" x14ac:dyDescent="0.3"/>
    <row r="429" ht="14.25" customHeight="1" x14ac:dyDescent="0.3"/>
    <row r="430" ht="14.25" customHeight="1" x14ac:dyDescent="0.3"/>
    <row r="431" ht="14.25" customHeight="1" x14ac:dyDescent="0.3"/>
    <row r="432" ht="14.25" customHeight="1" x14ac:dyDescent="0.3"/>
    <row r="433" ht="14.25" customHeight="1" x14ac:dyDescent="0.3"/>
    <row r="434" ht="14.25" customHeight="1" x14ac:dyDescent="0.3"/>
    <row r="435" ht="14.25" customHeight="1" x14ac:dyDescent="0.3"/>
    <row r="436" ht="14.25" customHeight="1" x14ac:dyDescent="0.3"/>
    <row r="437" ht="14.25" customHeight="1" x14ac:dyDescent="0.3"/>
    <row r="438" ht="14.25" customHeight="1" x14ac:dyDescent="0.3"/>
    <row r="439" ht="14.25" customHeight="1" x14ac:dyDescent="0.3"/>
    <row r="440" ht="14.25" customHeight="1" x14ac:dyDescent="0.3"/>
    <row r="441" ht="14.25" customHeight="1" x14ac:dyDescent="0.3"/>
    <row r="442" ht="14.25" customHeight="1" x14ac:dyDescent="0.3"/>
    <row r="443" ht="14.25" customHeight="1" x14ac:dyDescent="0.3"/>
    <row r="444" ht="14.25" customHeight="1" x14ac:dyDescent="0.3"/>
    <row r="445" ht="14.25" customHeight="1" x14ac:dyDescent="0.3"/>
    <row r="446" ht="14.25" customHeight="1" x14ac:dyDescent="0.3"/>
    <row r="447" ht="14.25" customHeight="1" x14ac:dyDescent="0.3"/>
    <row r="448" ht="14.25" customHeight="1" x14ac:dyDescent="0.3"/>
    <row r="449" ht="14.25" customHeight="1" x14ac:dyDescent="0.3"/>
    <row r="450" ht="14.25" customHeight="1" x14ac:dyDescent="0.3"/>
    <row r="451" ht="14.25" customHeight="1" x14ac:dyDescent="0.3"/>
    <row r="452" ht="14.25" customHeight="1" x14ac:dyDescent="0.3"/>
    <row r="453" ht="14.25" customHeight="1" x14ac:dyDescent="0.3"/>
    <row r="454" ht="14.25" customHeight="1" x14ac:dyDescent="0.3"/>
    <row r="455" ht="14.25" customHeight="1" x14ac:dyDescent="0.3"/>
    <row r="456" ht="14.25" customHeight="1" x14ac:dyDescent="0.3"/>
    <row r="457" ht="14.25" customHeight="1" x14ac:dyDescent="0.3"/>
    <row r="458" ht="14.25" customHeight="1" x14ac:dyDescent="0.3"/>
    <row r="459" ht="14.25" customHeight="1" x14ac:dyDescent="0.3"/>
    <row r="460" ht="14.25" customHeight="1" x14ac:dyDescent="0.3"/>
    <row r="461" ht="14.25" customHeight="1" x14ac:dyDescent="0.3"/>
    <row r="462" ht="14.25" customHeight="1" x14ac:dyDescent="0.3"/>
    <row r="463" ht="14.25" customHeight="1" x14ac:dyDescent="0.3"/>
    <row r="464" ht="14.25" customHeight="1" x14ac:dyDescent="0.3"/>
    <row r="465" ht="14.25" customHeight="1" x14ac:dyDescent="0.3"/>
    <row r="466" ht="14.25" customHeight="1" x14ac:dyDescent="0.3"/>
    <row r="467" ht="14.25" customHeight="1" x14ac:dyDescent="0.3"/>
    <row r="468" ht="14.25" customHeight="1" x14ac:dyDescent="0.3"/>
    <row r="469" ht="14.25" customHeight="1" x14ac:dyDescent="0.3"/>
    <row r="470" ht="14.25" customHeight="1" x14ac:dyDescent="0.3"/>
    <row r="471" ht="14.25" customHeight="1" x14ac:dyDescent="0.3"/>
    <row r="472" ht="14.25" customHeight="1" x14ac:dyDescent="0.3"/>
    <row r="473" ht="14.25" customHeight="1" x14ac:dyDescent="0.3"/>
    <row r="474" ht="14.25" customHeight="1" x14ac:dyDescent="0.3"/>
    <row r="475" ht="14.25" customHeight="1" x14ac:dyDescent="0.3"/>
    <row r="476" ht="14.25" customHeight="1" x14ac:dyDescent="0.3"/>
    <row r="477" ht="14.25" customHeight="1" x14ac:dyDescent="0.3"/>
    <row r="478" ht="14.25" customHeight="1" x14ac:dyDescent="0.3"/>
    <row r="479" ht="14.25" customHeight="1" x14ac:dyDescent="0.3"/>
    <row r="480" ht="14.25" customHeight="1" x14ac:dyDescent="0.3"/>
    <row r="481" ht="14.25" customHeight="1" x14ac:dyDescent="0.3"/>
    <row r="482" ht="14.25" customHeight="1" x14ac:dyDescent="0.3"/>
    <row r="483" ht="14.25" customHeight="1" x14ac:dyDescent="0.3"/>
    <row r="484" ht="14.25" customHeight="1" x14ac:dyDescent="0.3"/>
    <row r="485" ht="14.25" customHeight="1" x14ac:dyDescent="0.3"/>
    <row r="486" ht="14.25" customHeight="1" x14ac:dyDescent="0.3"/>
    <row r="487" ht="14.25" customHeight="1" x14ac:dyDescent="0.3"/>
    <row r="488" ht="14.25" customHeight="1" x14ac:dyDescent="0.3"/>
    <row r="489" ht="14.25" customHeight="1" x14ac:dyDescent="0.3"/>
    <row r="490" ht="14.25" customHeight="1" x14ac:dyDescent="0.3"/>
    <row r="491" ht="14.25" customHeight="1" x14ac:dyDescent="0.3"/>
    <row r="492" ht="14.25" customHeight="1" x14ac:dyDescent="0.3"/>
    <row r="493" ht="14.25" customHeight="1" x14ac:dyDescent="0.3"/>
    <row r="494" ht="14.25" customHeight="1" x14ac:dyDescent="0.3"/>
    <row r="495" ht="14.25" customHeight="1" x14ac:dyDescent="0.3"/>
    <row r="496" ht="14.25" customHeight="1" x14ac:dyDescent="0.3"/>
    <row r="497" ht="14.25" customHeight="1" x14ac:dyDescent="0.3"/>
    <row r="498" ht="14.25" customHeight="1" x14ac:dyDescent="0.3"/>
    <row r="499" ht="14.25" customHeight="1" x14ac:dyDescent="0.3"/>
    <row r="500" ht="14.25" customHeight="1" x14ac:dyDescent="0.3"/>
    <row r="501" ht="14.25" customHeight="1" x14ac:dyDescent="0.3"/>
    <row r="502" ht="14.25" customHeight="1" x14ac:dyDescent="0.3"/>
    <row r="503" ht="14.25" customHeight="1" x14ac:dyDescent="0.3"/>
    <row r="504" ht="14.25" customHeight="1" x14ac:dyDescent="0.3"/>
    <row r="505" ht="14.25" customHeight="1" x14ac:dyDescent="0.3"/>
    <row r="506" ht="14.25" customHeight="1" x14ac:dyDescent="0.3"/>
    <row r="507" ht="14.25" customHeight="1" x14ac:dyDescent="0.3"/>
    <row r="508" ht="14.25" customHeight="1" x14ac:dyDescent="0.3"/>
    <row r="509" ht="14.25" customHeight="1" x14ac:dyDescent="0.3"/>
    <row r="510" ht="14.25" customHeight="1" x14ac:dyDescent="0.3"/>
    <row r="511" ht="14.25" customHeight="1" x14ac:dyDescent="0.3"/>
    <row r="512" ht="14.25" customHeight="1" x14ac:dyDescent="0.3"/>
    <row r="513" ht="14.25" customHeight="1" x14ac:dyDescent="0.3"/>
    <row r="514" ht="14.25" customHeight="1" x14ac:dyDescent="0.3"/>
    <row r="515" ht="14.25" customHeight="1" x14ac:dyDescent="0.3"/>
    <row r="516" ht="14.25" customHeight="1" x14ac:dyDescent="0.3"/>
    <row r="517" ht="14.25" customHeight="1" x14ac:dyDescent="0.3"/>
    <row r="518" ht="14.25" customHeight="1" x14ac:dyDescent="0.3"/>
    <row r="519" ht="14.25" customHeight="1" x14ac:dyDescent="0.3"/>
    <row r="520" ht="14.25" customHeight="1" x14ac:dyDescent="0.3"/>
    <row r="521" ht="14.25" customHeight="1" x14ac:dyDescent="0.3"/>
    <row r="522" ht="14.25" customHeight="1" x14ac:dyDescent="0.3"/>
    <row r="523" ht="14.25" customHeight="1" x14ac:dyDescent="0.3"/>
    <row r="524" ht="14.25" customHeight="1" x14ac:dyDescent="0.3"/>
    <row r="525" ht="14.25" customHeight="1" x14ac:dyDescent="0.3"/>
    <row r="526" ht="14.25" customHeight="1" x14ac:dyDescent="0.3"/>
    <row r="527" ht="14.25" customHeight="1" x14ac:dyDescent="0.3"/>
    <row r="528" ht="14.25" customHeight="1" x14ac:dyDescent="0.3"/>
    <row r="529" ht="14.25" customHeight="1" x14ac:dyDescent="0.3"/>
    <row r="530" ht="14.25" customHeight="1" x14ac:dyDescent="0.3"/>
    <row r="531" ht="14.25" customHeight="1" x14ac:dyDescent="0.3"/>
    <row r="532" ht="14.25" customHeight="1" x14ac:dyDescent="0.3"/>
    <row r="533" ht="14.25" customHeight="1" x14ac:dyDescent="0.3"/>
    <row r="534" ht="14.25" customHeight="1" x14ac:dyDescent="0.3"/>
    <row r="535" ht="14.25" customHeight="1" x14ac:dyDescent="0.3"/>
    <row r="536" ht="14.25" customHeight="1" x14ac:dyDescent="0.3"/>
    <row r="537" ht="14.25" customHeight="1" x14ac:dyDescent="0.3"/>
    <row r="538" ht="14.25" customHeight="1" x14ac:dyDescent="0.3"/>
    <row r="539" ht="14.25" customHeight="1" x14ac:dyDescent="0.3"/>
    <row r="540" ht="14.25" customHeight="1" x14ac:dyDescent="0.3"/>
    <row r="541" ht="14.25" customHeight="1" x14ac:dyDescent="0.3"/>
    <row r="542" ht="14.25" customHeight="1" x14ac:dyDescent="0.3"/>
    <row r="543" ht="14.25" customHeight="1" x14ac:dyDescent="0.3"/>
    <row r="544" ht="14.25" customHeight="1" x14ac:dyDescent="0.3"/>
    <row r="545" ht="14.25" customHeight="1" x14ac:dyDescent="0.3"/>
    <row r="546" ht="14.25" customHeight="1" x14ac:dyDescent="0.3"/>
    <row r="547" ht="14.25" customHeight="1" x14ac:dyDescent="0.3"/>
    <row r="548" ht="14.25" customHeight="1" x14ac:dyDescent="0.3"/>
    <row r="549" ht="14.25" customHeight="1" x14ac:dyDescent="0.3"/>
    <row r="550" ht="14.25" customHeight="1" x14ac:dyDescent="0.3"/>
    <row r="551" ht="14.25" customHeight="1" x14ac:dyDescent="0.3"/>
    <row r="552" ht="14.25" customHeight="1" x14ac:dyDescent="0.3"/>
    <row r="553" ht="14.25" customHeight="1" x14ac:dyDescent="0.3"/>
    <row r="554" ht="14.25" customHeight="1" x14ac:dyDescent="0.3"/>
    <row r="555" ht="14.25" customHeight="1" x14ac:dyDescent="0.3"/>
    <row r="556" ht="14.25" customHeight="1" x14ac:dyDescent="0.3"/>
    <row r="557" ht="14.25" customHeight="1" x14ac:dyDescent="0.3"/>
    <row r="558" ht="14.25" customHeight="1" x14ac:dyDescent="0.3"/>
    <row r="559" ht="14.25" customHeight="1" x14ac:dyDescent="0.3"/>
    <row r="560" ht="14.25" customHeight="1" x14ac:dyDescent="0.3"/>
    <row r="561" ht="14.25" customHeight="1" x14ac:dyDescent="0.3"/>
    <row r="562" ht="14.25" customHeight="1" x14ac:dyDescent="0.3"/>
    <row r="563" ht="14.25" customHeight="1" x14ac:dyDescent="0.3"/>
    <row r="564" ht="14.25" customHeight="1" x14ac:dyDescent="0.3"/>
    <row r="565" ht="14.25" customHeight="1" x14ac:dyDescent="0.3"/>
    <row r="566" ht="14.25" customHeight="1" x14ac:dyDescent="0.3"/>
    <row r="567" ht="14.25" customHeight="1" x14ac:dyDescent="0.3"/>
    <row r="568" ht="14.25" customHeight="1" x14ac:dyDescent="0.3"/>
    <row r="569" ht="14.25" customHeight="1" x14ac:dyDescent="0.3"/>
    <row r="570" ht="14.25" customHeight="1" x14ac:dyDescent="0.3"/>
    <row r="571" ht="14.25" customHeight="1" x14ac:dyDescent="0.3"/>
    <row r="572" ht="14.25" customHeight="1" x14ac:dyDescent="0.3"/>
    <row r="573" ht="14.25" customHeight="1" x14ac:dyDescent="0.3"/>
    <row r="574" ht="14.25" customHeight="1" x14ac:dyDescent="0.3"/>
    <row r="575" ht="14.25" customHeight="1" x14ac:dyDescent="0.3"/>
    <row r="576" ht="14.25" customHeight="1" x14ac:dyDescent="0.3"/>
    <row r="577" ht="14.25" customHeight="1" x14ac:dyDescent="0.3"/>
    <row r="578" ht="14.25" customHeight="1" x14ac:dyDescent="0.3"/>
    <row r="579" ht="14.25" customHeight="1" x14ac:dyDescent="0.3"/>
    <row r="580" ht="14.25" customHeight="1" x14ac:dyDescent="0.3"/>
    <row r="581" ht="14.25" customHeight="1" x14ac:dyDescent="0.3"/>
    <row r="582" ht="14.25" customHeight="1" x14ac:dyDescent="0.3"/>
    <row r="583" ht="14.25" customHeight="1" x14ac:dyDescent="0.3"/>
    <row r="584" ht="14.25" customHeight="1" x14ac:dyDescent="0.3"/>
    <row r="585" ht="14.25" customHeight="1" x14ac:dyDescent="0.3"/>
    <row r="586" ht="14.25" customHeight="1" x14ac:dyDescent="0.3"/>
    <row r="587" ht="14.25" customHeight="1" x14ac:dyDescent="0.3"/>
    <row r="588" ht="14.25" customHeight="1" x14ac:dyDescent="0.3"/>
    <row r="589" ht="14.25" customHeight="1" x14ac:dyDescent="0.3"/>
    <row r="590" ht="14.25" customHeight="1" x14ac:dyDescent="0.3"/>
    <row r="591" ht="14.25" customHeight="1" x14ac:dyDescent="0.3"/>
    <row r="592" ht="14.25" customHeight="1" x14ac:dyDescent="0.3"/>
    <row r="593" ht="14.25" customHeight="1" x14ac:dyDescent="0.3"/>
    <row r="594" ht="14.25" customHeight="1" x14ac:dyDescent="0.3"/>
    <row r="595" ht="14.25" customHeight="1" x14ac:dyDescent="0.3"/>
    <row r="596" ht="14.25" customHeight="1" x14ac:dyDescent="0.3"/>
    <row r="597" ht="14.25" customHeight="1" x14ac:dyDescent="0.3"/>
    <row r="598" ht="14.25" customHeight="1" x14ac:dyDescent="0.3"/>
    <row r="599" ht="14.25" customHeight="1" x14ac:dyDescent="0.3"/>
    <row r="600" ht="14.25" customHeight="1" x14ac:dyDescent="0.3"/>
    <row r="601" ht="14.25" customHeight="1" x14ac:dyDescent="0.3"/>
    <row r="602" ht="14.25" customHeight="1" x14ac:dyDescent="0.3"/>
    <row r="603" ht="14.25" customHeight="1" x14ac:dyDescent="0.3"/>
    <row r="604" ht="14.25" customHeight="1" x14ac:dyDescent="0.3"/>
    <row r="605" ht="14.25" customHeight="1" x14ac:dyDescent="0.3"/>
    <row r="606" ht="14.25" customHeight="1" x14ac:dyDescent="0.3"/>
    <row r="607" ht="14.25" customHeight="1" x14ac:dyDescent="0.3"/>
    <row r="608" ht="14.25" customHeight="1" x14ac:dyDescent="0.3"/>
    <row r="609" ht="14.25" customHeight="1" x14ac:dyDescent="0.3"/>
    <row r="610" ht="14.25" customHeight="1" x14ac:dyDescent="0.3"/>
    <row r="611" ht="14.25" customHeight="1" x14ac:dyDescent="0.3"/>
    <row r="612" ht="14.25" customHeight="1" x14ac:dyDescent="0.3"/>
    <row r="613" ht="14.25" customHeight="1" x14ac:dyDescent="0.3"/>
    <row r="614" ht="14.25" customHeight="1" x14ac:dyDescent="0.3"/>
    <row r="615" ht="14.25" customHeight="1" x14ac:dyDescent="0.3"/>
    <row r="616" ht="14.25" customHeight="1" x14ac:dyDescent="0.3"/>
    <row r="617" ht="14.25" customHeight="1" x14ac:dyDescent="0.3"/>
    <row r="618" ht="14.25" customHeight="1" x14ac:dyDescent="0.3"/>
    <row r="619" ht="14.25" customHeight="1" x14ac:dyDescent="0.3"/>
    <row r="620" ht="14.25" customHeight="1" x14ac:dyDescent="0.3"/>
    <row r="621" ht="14.25" customHeight="1" x14ac:dyDescent="0.3"/>
    <row r="622" ht="14.25" customHeight="1" x14ac:dyDescent="0.3"/>
    <row r="623" ht="14.25" customHeight="1" x14ac:dyDescent="0.3"/>
    <row r="624" ht="14.25" customHeight="1" x14ac:dyDescent="0.3"/>
    <row r="625" ht="14.25" customHeight="1" x14ac:dyDescent="0.3"/>
    <row r="626" ht="14.25" customHeight="1" x14ac:dyDescent="0.3"/>
    <row r="627" ht="14.25" customHeight="1" x14ac:dyDescent="0.3"/>
    <row r="628" ht="14.25" customHeight="1" x14ac:dyDescent="0.3"/>
    <row r="629" ht="14.25" customHeight="1" x14ac:dyDescent="0.3"/>
    <row r="630" ht="14.25" customHeight="1" x14ac:dyDescent="0.3"/>
    <row r="631" ht="14.25" customHeight="1" x14ac:dyDescent="0.3"/>
    <row r="632" ht="14.25" customHeight="1" x14ac:dyDescent="0.3"/>
    <row r="633" ht="14.25" customHeight="1" x14ac:dyDescent="0.3"/>
    <row r="634" ht="14.25" customHeight="1" x14ac:dyDescent="0.3"/>
    <row r="635" ht="14.25" customHeight="1" x14ac:dyDescent="0.3"/>
    <row r="636" ht="14.25" customHeight="1" x14ac:dyDescent="0.3"/>
    <row r="637" ht="14.25" customHeight="1" x14ac:dyDescent="0.3"/>
    <row r="638" ht="14.25" customHeight="1" x14ac:dyDescent="0.3"/>
    <row r="639" ht="14.25" customHeight="1" x14ac:dyDescent="0.3"/>
    <row r="640" ht="14.25" customHeight="1" x14ac:dyDescent="0.3"/>
    <row r="641" ht="14.25" customHeight="1" x14ac:dyDescent="0.3"/>
    <row r="642" ht="14.25" customHeight="1" x14ac:dyDescent="0.3"/>
    <row r="643" ht="14.25" customHeight="1" x14ac:dyDescent="0.3"/>
    <row r="644" ht="14.25" customHeight="1" x14ac:dyDescent="0.3"/>
    <row r="645" ht="14.25" customHeight="1" x14ac:dyDescent="0.3"/>
    <row r="646" ht="14.25" customHeight="1" x14ac:dyDescent="0.3"/>
    <row r="647" ht="14.25" customHeight="1" x14ac:dyDescent="0.3"/>
    <row r="648" ht="14.25" customHeight="1" x14ac:dyDescent="0.3"/>
    <row r="649" ht="14.25" customHeight="1" x14ac:dyDescent="0.3"/>
    <row r="650" ht="14.25" customHeight="1" x14ac:dyDescent="0.3"/>
    <row r="651" ht="14.25" customHeight="1" x14ac:dyDescent="0.3"/>
    <row r="652" ht="14.25" customHeight="1" x14ac:dyDescent="0.3"/>
    <row r="653" ht="14.25" customHeight="1" x14ac:dyDescent="0.3"/>
    <row r="654" ht="14.25" customHeight="1" x14ac:dyDescent="0.3"/>
    <row r="655" ht="14.25" customHeight="1" x14ac:dyDescent="0.3"/>
    <row r="656" ht="14.25" customHeight="1" x14ac:dyDescent="0.3"/>
    <row r="657" ht="14.25" customHeight="1" x14ac:dyDescent="0.3"/>
    <row r="658" ht="14.25" customHeight="1" x14ac:dyDescent="0.3"/>
    <row r="659" ht="14.25" customHeight="1" x14ac:dyDescent="0.3"/>
    <row r="660" ht="14.25" customHeight="1" x14ac:dyDescent="0.3"/>
    <row r="661" ht="14.25" customHeight="1" x14ac:dyDescent="0.3"/>
    <row r="662" ht="14.25" customHeight="1" x14ac:dyDescent="0.3"/>
    <row r="663" ht="14.25" customHeight="1" x14ac:dyDescent="0.3"/>
    <row r="664" ht="14.25" customHeight="1" x14ac:dyDescent="0.3"/>
    <row r="665" ht="14.25" customHeight="1" x14ac:dyDescent="0.3"/>
    <row r="666" ht="14.25" customHeight="1" x14ac:dyDescent="0.3"/>
    <row r="667" ht="14.25" customHeight="1" x14ac:dyDescent="0.3"/>
    <row r="668" ht="14.25" customHeight="1" x14ac:dyDescent="0.3"/>
    <row r="669" ht="14.25" customHeight="1" x14ac:dyDescent="0.3"/>
    <row r="670" ht="14.25" customHeight="1" x14ac:dyDescent="0.3"/>
    <row r="671" ht="14.25" customHeight="1" x14ac:dyDescent="0.3"/>
    <row r="672" ht="14.25" customHeight="1" x14ac:dyDescent="0.3"/>
    <row r="673" ht="14.25" customHeight="1" x14ac:dyDescent="0.3"/>
    <row r="674" ht="14.25" customHeight="1" x14ac:dyDescent="0.3"/>
    <row r="675" ht="14.25" customHeight="1" x14ac:dyDescent="0.3"/>
    <row r="676" ht="14.25" customHeight="1" x14ac:dyDescent="0.3"/>
    <row r="677" ht="14.25" customHeight="1" x14ac:dyDescent="0.3"/>
    <row r="678" ht="14.25" customHeight="1" x14ac:dyDescent="0.3"/>
    <row r="679" ht="14.25" customHeight="1" x14ac:dyDescent="0.3"/>
    <row r="680" ht="14.25" customHeight="1" x14ac:dyDescent="0.3"/>
    <row r="681" ht="14.25" customHeight="1" x14ac:dyDescent="0.3"/>
    <row r="682" ht="14.25" customHeight="1" x14ac:dyDescent="0.3"/>
    <row r="683" ht="14.25" customHeight="1" x14ac:dyDescent="0.3"/>
    <row r="684" ht="14.25" customHeight="1" x14ac:dyDescent="0.3"/>
    <row r="685" ht="14.25" customHeight="1" x14ac:dyDescent="0.3"/>
    <row r="686" ht="14.25" customHeight="1" x14ac:dyDescent="0.3"/>
    <row r="687" ht="14.25" customHeight="1" x14ac:dyDescent="0.3"/>
    <row r="688" ht="14.25" customHeight="1" x14ac:dyDescent="0.3"/>
    <row r="689" ht="14.25" customHeight="1" x14ac:dyDescent="0.3"/>
    <row r="690" ht="14.25" customHeight="1" x14ac:dyDescent="0.3"/>
    <row r="691" ht="14.25" customHeight="1" x14ac:dyDescent="0.3"/>
    <row r="692" ht="14.25" customHeight="1" x14ac:dyDescent="0.3"/>
    <row r="693" ht="14.25" customHeight="1" x14ac:dyDescent="0.3"/>
    <row r="694" ht="14.25" customHeight="1" x14ac:dyDescent="0.3"/>
    <row r="695" ht="14.25" customHeight="1" x14ac:dyDescent="0.3"/>
    <row r="696" ht="14.25" customHeight="1" x14ac:dyDescent="0.3"/>
    <row r="697" ht="14.25" customHeight="1" x14ac:dyDescent="0.3"/>
    <row r="698" ht="14.25" customHeight="1" x14ac:dyDescent="0.3"/>
    <row r="699" ht="14.25" customHeight="1" x14ac:dyDescent="0.3"/>
    <row r="700" ht="14.25" customHeight="1" x14ac:dyDescent="0.3"/>
    <row r="701" ht="14.25" customHeight="1" x14ac:dyDescent="0.3"/>
    <row r="702" ht="14.25" customHeight="1" x14ac:dyDescent="0.3"/>
    <row r="703" ht="14.25" customHeight="1" x14ac:dyDescent="0.3"/>
    <row r="704" ht="14.25" customHeight="1" x14ac:dyDescent="0.3"/>
    <row r="705" ht="14.25" customHeight="1" x14ac:dyDescent="0.3"/>
    <row r="706" ht="14.25" customHeight="1" x14ac:dyDescent="0.3"/>
    <row r="707" ht="14.25" customHeight="1" x14ac:dyDescent="0.3"/>
    <row r="708" ht="14.25" customHeight="1" x14ac:dyDescent="0.3"/>
    <row r="709" ht="14.25" customHeight="1" x14ac:dyDescent="0.3"/>
    <row r="710" ht="14.25" customHeight="1" x14ac:dyDescent="0.3"/>
    <row r="711" ht="14.25" customHeight="1" x14ac:dyDescent="0.3"/>
    <row r="712" ht="14.25" customHeight="1" x14ac:dyDescent="0.3"/>
    <row r="713" ht="14.25" customHeight="1" x14ac:dyDescent="0.3"/>
    <row r="714" ht="14.25" customHeight="1" x14ac:dyDescent="0.3"/>
    <row r="715" ht="14.25" customHeight="1" x14ac:dyDescent="0.3"/>
    <row r="716" ht="14.25" customHeight="1" x14ac:dyDescent="0.3"/>
    <row r="717" ht="14.25" customHeight="1" x14ac:dyDescent="0.3"/>
    <row r="718" ht="14.25" customHeight="1" x14ac:dyDescent="0.3"/>
    <row r="719" ht="14.25" customHeight="1" x14ac:dyDescent="0.3"/>
    <row r="720" ht="14.25" customHeight="1" x14ac:dyDescent="0.3"/>
    <row r="721" ht="14.25" customHeight="1" x14ac:dyDescent="0.3"/>
    <row r="722" ht="14.25" customHeight="1" x14ac:dyDescent="0.3"/>
    <row r="723" ht="14.25" customHeight="1" x14ac:dyDescent="0.3"/>
    <row r="724" ht="14.25" customHeight="1" x14ac:dyDescent="0.3"/>
    <row r="725" ht="14.25" customHeight="1" x14ac:dyDescent="0.3"/>
    <row r="726" ht="14.25" customHeight="1" x14ac:dyDescent="0.3"/>
    <row r="727" ht="14.25" customHeight="1" x14ac:dyDescent="0.3"/>
    <row r="728" ht="14.25" customHeight="1" x14ac:dyDescent="0.3"/>
    <row r="729" ht="14.25" customHeight="1" x14ac:dyDescent="0.3"/>
    <row r="730" ht="14.25" customHeight="1" x14ac:dyDescent="0.3"/>
    <row r="731" ht="14.25" customHeight="1" x14ac:dyDescent="0.3"/>
    <row r="732" ht="14.25" customHeight="1" x14ac:dyDescent="0.3"/>
    <row r="733" ht="14.25" customHeight="1" x14ac:dyDescent="0.3"/>
    <row r="734" ht="14.25" customHeight="1" x14ac:dyDescent="0.3"/>
    <row r="735" ht="14.25" customHeight="1" x14ac:dyDescent="0.3"/>
    <row r="736" ht="14.25" customHeight="1" x14ac:dyDescent="0.3"/>
    <row r="737" ht="14.25" customHeight="1" x14ac:dyDescent="0.3"/>
    <row r="738" ht="14.25" customHeight="1" x14ac:dyDescent="0.3"/>
    <row r="739" ht="14.25" customHeight="1" x14ac:dyDescent="0.3"/>
    <row r="740" ht="14.25" customHeight="1" x14ac:dyDescent="0.3"/>
    <row r="741" ht="14.25" customHeight="1" x14ac:dyDescent="0.3"/>
    <row r="742" ht="14.25" customHeight="1" x14ac:dyDescent="0.3"/>
    <row r="743" ht="14.25" customHeight="1" x14ac:dyDescent="0.3"/>
    <row r="744" ht="14.25" customHeight="1" x14ac:dyDescent="0.3"/>
    <row r="745" ht="14.25" customHeight="1" x14ac:dyDescent="0.3"/>
    <row r="746" ht="14.25" customHeight="1" x14ac:dyDescent="0.3"/>
    <row r="747" ht="14.25" customHeight="1" x14ac:dyDescent="0.3"/>
    <row r="748" ht="14.25" customHeight="1" x14ac:dyDescent="0.3"/>
    <row r="749" ht="14.25" customHeight="1" x14ac:dyDescent="0.3"/>
    <row r="750" ht="14.25" customHeight="1" x14ac:dyDescent="0.3"/>
    <row r="751" ht="14.25" customHeight="1" x14ac:dyDescent="0.3"/>
    <row r="752" ht="14.25" customHeight="1" x14ac:dyDescent="0.3"/>
    <row r="753" ht="14.25" customHeight="1" x14ac:dyDescent="0.3"/>
    <row r="754" ht="14.25" customHeight="1" x14ac:dyDescent="0.3"/>
    <row r="755" ht="14.25" customHeight="1" x14ac:dyDescent="0.3"/>
    <row r="756" ht="14.25" customHeight="1" x14ac:dyDescent="0.3"/>
    <row r="757" ht="14.25" customHeight="1" x14ac:dyDescent="0.3"/>
    <row r="758" ht="14.25" customHeight="1" x14ac:dyDescent="0.3"/>
    <row r="759" ht="14.25" customHeight="1" x14ac:dyDescent="0.3"/>
    <row r="760" ht="14.25" customHeight="1" x14ac:dyDescent="0.3"/>
    <row r="761" ht="14.25" customHeight="1" x14ac:dyDescent="0.3"/>
    <row r="762" ht="14.25" customHeight="1" x14ac:dyDescent="0.3"/>
    <row r="763" ht="14.25" customHeight="1" x14ac:dyDescent="0.3"/>
    <row r="764" ht="14.25" customHeight="1" x14ac:dyDescent="0.3"/>
    <row r="765" ht="14.25" customHeight="1" x14ac:dyDescent="0.3"/>
    <row r="766" ht="14.25" customHeight="1" x14ac:dyDescent="0.3"/>
    <row r="767" ht="14.25" customHeight="1" x14ac:dyDescent="0.3"/>
    <row r="768" ht="14.25" customHeight="1" x14ac:dyDescent="0.3"/>
    <row r="769" ht="14.25" customHeight="1" x14ac:dyDescent="0.3"/>
    <row r="770" ht="14.25" customHeight="1" x14ac:dyDescent="0.3"/>
    <row r="771" ht="14.25" customHeight="1" x14ac:dyDescent="0.3"/>
    <row r="772" ht="14.25" customHeight="1" x14ac:dyDescent="0.3"/>
    <row r="773" ht="14.25" customHeight="1" x14ac:dyDescent="0.3"/>
    <row r="774" ht="14.25" customHeight="1" x14ac:dyDescent="0.3"/>
    <row r="775" ht="14.25" customHeight="1" x14ac:dyDescent="0.3"/>
    <row r="776" ht="14.25" customHeight="1" x14ac:dyDescent="0.3"/>
    <row r="777" ht="14.25" customHeight="1" x14ac:dyDescent="0.3"/>
    <row r="778" ht="14.25" customHeight="1" x14ac:dyDescent="0.3"/>
    <row r="779" ht="14.25" customHeight="1" x14ac:dyDescent="0.3"/>
    <row r="780" ht="14.25" customHeight="1" x14ac:dyDescent="0.3"/>
    <row r="781" ht="14.25" customHeight="1" x14ac:dyDescent="0.3"/>
    <row r="782" ht="14.25" customHeight="1" x14ac:dyDescent="0.3"/>
    <row r="783" ht="14.25" customHeight="1" x14ac:dyDescent="0.3"/>
    <row r="784" ht="14.25" customHeight="1" x14ac:dyDescent="0.3"/>
    <row r="785" ht="14.25" customHeight="1" x14ac:dyDescent="0.3"/>
    <row r="786" ht="14.25" customHeight="1" x14ac:dyDescent="0.3"/>
    <row r="787" ht="14.25" customHeight="1" x14ac:dyDescent="0.3"/>
    <row r="788" ht="14.25" customHeight="1" x14ac:dyDescent="0.3"/>
    <row r="789" ht="14.25" customHeight="1" x14ac:dyDescent="0.3"/>
    <row r="790" ht="14.25" customHeight="1" x14ac:dyDescent="0.3"/>
    <row r="791" ht="14.25" customHeight="1" x14ac:dyDescent="0.3"/>
    <row r="792" ht="14.25" customHeight="1" x14ac:dyDescent="0.3"/>
    <row r="793" ht="14.25" customHeight="1" x14ac:dyDescent="0.3"/>
    <row r="794" ht="14.25" customHeight="1" x14ac:dyDescent="0.3"/>
    <row r="795" ht="14.25" customHeight="1" x14ac:dyDescent="0.3"/>
    <row r="796" ht="14.25" customHeight="1" x14ac:dyDescent="0.3"/>
    <row r="797" ht="14.25" customHeight="1" x14ac:dyDescent="0.3"/>
    <row r="798" ht="14.25" customHeight="1" x14ac:dyDescent="0.3"/>
    <row r="799" ht="14.25" customHeight="1" x14ac:dyDescent="0.3"/>
    <row r="800" ht="14.25" customHeight="1" x14ac:dyDescent="0.3"/>
    <row r="801" ht="14.25" customHeight="1" x14ac:dyDescent="0.3"/>
    <row r="802" ht="14.25" customHeight="1" x14ac:dyDescent="0.3"/>
    <row r="803" ht="14.25" customHeight="1" x14ac:dyDescent="0.3"/>
    <row r="804" ht="14.25" customHeight="1" x14ac:dyDescent="0.3"/>
    <row r="805" ht="14.25" customHeight="1" x14ac:dyDescent="0.3"/>
    <row r="806" ht="14.25" customHeight="1" x14ac:dyDescent="0.3"/>
    <row r="807" ht="14.25" customHeight="1" x14ac:dyDescent="0.3"/>
    <row r="808" ht="14.25" customHeight="1" x14ac:dyDescent="0.3"/>
    <row r="809" ht="14.25" customHeight="1" x14ac:dyDescent="0.3"/>
    <row r="810" ht="14.25" customHeight="1" x14ac:dyDescent="0.3"/>
    <row r="811" ht="14.25" customHeight="1" x14ac:dyDescent="0.3"/>
    <row r="812" ht="14.25" customHeight="1" x14ac:dyDescent="0.3"/>
    <row r="813" ht="14.25" customHeight="1" x14ac:dyDescent="0.3"/>
    <row r="814" ht="14.25" customHeight="1" x14ac:dyDescent="0.3"/>
    <row r="815" ht="14.25" customHeight="1" x14ac:dyDescent="0.3"/>
    <row r="816" ht="14.25" customHeight="1" x14ac:dyDescent="0.3"/>
    <row r="817" ht="14.25" customHeight="1" x14ac:dyDescent="0.3"/>
    <row r="818" ht="14.25" customHeight="1" x14ac:dyDescent="0.3"/>
    <row r="819" ht="14.25" customHeight="1" x14ac:dyDescent="0.3"/>
    <row r="820" ht="14.25" customHeight="1" x14ac:dyDescent="0.3"/>
    <row r="821" ht="14.25" customHeight="1" x14ac:dyDescent="0.3"/>
    <row r="822" ht="14.25" customHeight="1" x14ac:dyDescent="0.3"/>
    <row r="823" ht="14.25" customHeight="1" x14ac:dyDescent="0.3"/>
    <row r="824" ht="14.25" customHeight="1" x14ac:dyDescent="0.3"/>
    <row r="825" ht="14.25" customHeight="1" x14ac:dyDescent="0.3"/>
    <row r="826" ht="14.25" customHeight="1" x14ac:dyDescent="0.3"/>
    <row r="827" ht="14.25" customHeight="1" x14ac:dyDescent="0.3"/>
    <row r="828" ht="14.25" customHeight="1" x14ac:dyDescent="0.3"/>
    <row r="829" ht="14.25" customHeight="1" x14ac:dyDescent="0.3"/>
    <row r="830" ht="14.25" customHeight="1" x14ac:dyDescent="0.3"/>
    <row r="831" ht="14.25" customHeight="1" x14ac:dyDescent="0.3"/>
    <row r="832" ht="14.25" customHeight="1" x14ac:dyDescent="0.3"/>
    <row r="833" ht="14.25" customHeight="1" x14ac:dyDescent="0.3"/>
    <row r="834" ht="14.25" customHeight="1" x14ac:dyDescent="0.3"/>
    <row r="835" ht="14.25" customHeight="1" x14ac:dyDescent="0.3"/>
    <row r="836" ht="14.25" customHeight="1" x14ac:dyDescent="0.3"/>
    <row r="837" ht="14.25" customHeight="1" x14ac:dyDescent="0.3"/>
    <row r="838" ht="14.25" customHeight="1" x14ac:dyDescent="0.3"/>
    <row r="839" ht="14.25" customHeight="1" x14ac:dyDescent="0.3"/>
    <row r="840" ht="14.25" customHeight="1" x14ac:dyDescent="0.3"/>
    <row r="841" ht="14.25" customHeight="1" x14ac:dyDescent="0.3"/>
    <row r="842" ht="14.25" customHeight="1" x14ac:dyDescent="0.3"/>
    <row r="843" ht="14.25" customHeight="1" x14ac:dyDescent="0.3"/>
    <row r="844" ht="14.25" customHeight="1" x14ac:dyDescent="0.3"/>
    <row r="845" ht="14.25" customHeight="1" x14ac:dyDescent="0.3"/>
    <row r="846" ht="14.25" customHeight="1" x14ac:dyDescent="0.3"/>
    <row r="847" ht="14.25" customHeight="1" x14ac:dyDescent="0.3"/>
    <row r="848" ht="14.25" customHeight="1" x14ac:dyDescent="0.3"/>
    <row r="849" ht="14.25" customHeight="1" x14ac:dyDescent="0.3"/>
    <row r="850" ht="14.25" customHeight="1" x14ac:dyDescent="0.3"/>
    <row r="851" ht="14.25" customHeight="1" x14ac:dyDescent="0.3"/>
    <row r="852" ht="14.25" customHeight="1" x14ac:dyDescent="0.3"/>
    <row r="853" ht="14.25" customHeight="1" x14ac:dyDescent="0.3"/>
    <row r="854" ht="14.25" customHeight="1" x14ac:dyDescent="0.3"/>
    <row r="855" ht="14.25" customHeight="1" x14ac:dyDescent="0.3"/>
    <row r="856" ht="14.25" customHeight="1" x14ac:dyDescent="0.3"/>
    <row r="857" ht="14.25" customHeight="1" x14ac:dyDescent="0.3"/>
    <row r="858" ht="14.25" customHeight="1" x14ac:dyDescent="0.3"/>
    <row r="859" ht="14.25" customHeight="1" x14ac:dyDescent="0.3"/>
    <row r="860" ht="14.25" customHeight="1" x14ac:dyDescent="0.3"/>
    <row r="861" ht="14.25" customHeight="1" x14ac:dyDescent="0.3"/>
    <row r="862" ht="14.25" customHeight="1" x14ac:dyDescent="0.3"/>
    <row r="863" ht="14.25" customHeight="1" x14ac:dyDescent="0.3"/>
    <row r="864" ht="14.25" customHeight="1" x14ac:dyDescent="0.3"/>
    <row r="865" ht="14.25" customHeight="1" x14ac:dyDescent="0.3"/>
    <row r="866" ht="14.25" customHeight="1" x14ac:dyDescent="0.3"/>
    <row r="867" ht="14.25" customHeight="1" x14ac:dyDescent="0.3"/>
    <row r="868" ht="14.25" customHeight="1" x14ac:dyDescent="0.3"/>
    <row r="869" ht="14.25" customHeight="1" x14ac:dyDescent="0.3"/>
    <row r="870" ht="14.25" customHeight="1" x14ac:dyDescent="0.3"/>
    <row r="871" ht="14.25" customHeight="1" x14ac:dyDescent="0.3"/>
    <row r="872" ht="14.25" customHeight="1" x14ac:dyDescent="0.3"/>
    <row r="873" ht="14.25" customHeight="1" x14ac:dyDescent="0.3"/>
    <row r="874" ht="14.25" customHeight="1" x14ac:dyDescent="0.3"/>
    <row r="875" ht="14.25" customHeight="1" x14ac:dyDescent="0.3"/>
    <row r="876" ht="14.25" customHeight="1" x14ac:dyDescent="0.3"/>
    <row r="877" ht="14.25" customHeight="1" x14ac:dyDescent="0.3"/>
    <row r="878" ht="14.25" customHeight="1" x14ac:dyDescent="0.3"/>
    <row r="879" ht="14.25" customHeight="1" x14ac:dyDescent="0.3"/>
    <row r="880" ht="14.25" customHeight="1" x14ac:dyDescent="0.3"/>
    <row r="881" ht="14.25" customHeight="1" x14ac:dyDescent="0.3"/>
    <row r="882" ht="14.25" customHeight="1" x14ac:dyDescent="0.3"/>
    <row r="883" ht="14.25" customHeight="1" x14ac:dyDescent="0.3"/>
    <row r="884" ht="14.25" customHeight="1" x14ac:dyDescent="0.3"/>
    <row r="885" ht="14.25" customHeight="1" x14ac:dyDescent="0.3"/>
    <row r="886" ht="14.25" customHeight="1" x14ac:dyDescent="0.3"/>
    <row r="887" ht="14.25" customHeight="1" x14ac:dyDescent="0.3"/>
    <row r="888" ht="14.25" customHeight="1" x14ac:dyDescent="0.3"/>
    <row r="889" ht="14.25" customHeight="1" x14ac:dyDescent="0.3"/>
    <row r="890" ht="14.25" customHeight="1" x14ac:dyDescent="0.3"/>
    <row r="891" ht="14.25" customHeight="1" x14ac:dyDescent="0.3"/>
    <row r="892" ht="14.25" customHeight="1" x14ac:dyDescent="0.3"/>
    <row r="893" ht="14.25" customHeight="1" x14ac:dyDescent="0.3"/>
    <row r="894" ht="14.25" customHeight="1" x14ac:dyDescent="0.3"/>
    <row r="895" ht="14.25" customHeight="1" x14ac:dyDescent="0.3"/>
    <row r="896" ht="14.25" customHeight="1" x14ac:dyDescent="0.3"/>
    <row r="897" ht="14.25" customHeight="1" x14ac:dyDescent="0.3"/>
    <row r="898" ht="14.25" customHeight="1" x14ac:dyDescent="0.3"/>
    <row r="899" ht="14.25" customHeight="1" x14ac:dyDescent="0.3"/>
    <row r="900" ht="14.25" customHeight="1" x14ac:dyDescent="0.3"/>
    <row r="901" ht="14.25" customHeight="1" x14ac:dyDescent="0.3"/>
    <row r="902" ht="14.25" customHeight="1" x14ac:dyDescent="0.3"/>
    <row r="903" ht="14.25" customHeight="1" x14ac:dyDescent="0.3"/>
    <row r="904" ht="14.25" customHeight="1" x14ac:dyDescent="0.3"/>
    <row r="905" ht="14.25" customHeight="1" x14ac:dyDescent="0.3"/>
    <row r="906" ht="14.25" customHeight="1" x14ac:dyDescent="0.3"/>
    <row r="907" ht="14.25" customHeight="1" x14ac:dyDescent="0.3"/>
    <row r="908" ht="14.25" customHeight="1" x14ac:dyDescent="0.3"/>
    <row r="909" ht="14.25" customHeight="1" x14ac:dyDescent="0.3"/>
    <row r="910" ht="14.25" customHeight="1" x14ac:dyDescent="0.3"/>
    <row r="911" ht="14.25" customHeight="1" x14ac:dyDescent="0.3"/>
    <row r="912" ht="14.25" customHeight="1" x14ac:dyDescent="0.3"/>
    <row r="913" ht="14.25" customHeight="1" x14ac:dyDescent="0.3"/>
    <row r="914" ht="14.25" customHeight="1" x14ac:dyDescent="0.3"/>
    <row r="915" ht="14.25" customHeight="1" x14ac:dyDescent="0.3"/>
    <row r="916" ht="14.25" customHeight="1" x14ac:dyDescent="0.3"/>
    <row r="917" ht="14.25" customHeight="1" x14ac:dyDescent="0.3"/>
    <row r="918" ht="14.25" customHeight="1" x14ac:dyDescent="0.3"/>
    <row r="919" ht="14.25" customHeight="1" x14ac:dyDescent="0.3"/>
    <row r="920" ht="14.25" customHeight="1" x14ac:dyDescent="0.3"/>
    <row r="921" ht="14.25" customHeight="1" x14ac:dyDescent="0.3"/>
    <row r="922" ht="14.25" customHeight="1" x14ac:dyDescent="0.3"/>
    <row r="923" ht="14.25" customHeight="1" x14ac:dyDescent="0.3"/>
    <row r="924" ht="14.25" customHeight="1" x14ac:dyDescent="0.3"/>
    <row r="925" ht="14.25" customHeight="1" x14ac:dyDescent="0.3"/>
    <row r="926" ht="14.25" customHeight="1" x14ac:dyDescent="0.3"/>
    <row r="927" ht="14.25" customHeight="1" x14ac:dyDescent="0.3"/>
    <row r="928" ht="14.25" customHeight="1" x14ac:dyDescent="0.3"/>
    <row r="929" ht="14.25" customHeight="1" x14ac:dyDescent="0.3"/>
    <row r="930" ht="14.25" customHeight="1" x14ac:dyDescent="0.3"/>
    <row r="931" ht="14.25" customHeight="1" x14ac:dyDescent="0.3"/>
    <row r="932" ht="14.25" customHeight="1" x14ac:dyDescent="0.3"/>
    <row r="933" ht="14.25" customHeight="1" x14ac:dyDescent="0.3"/>
    <row r="934" ht="14.25" customHeight="1" x14ac:dyDescent="0.3"/>
    <row r="935" ht="14.25" customHeight="1" x14ac:dyDescent="0.3"/>
    <row r="936" ht="14.25" customHeight="1" x14ac:dyDescent="0.3"/>
    <row r="937" ht="14.25" customHeight="1" x14ac:dyDescent="0.3"/>
    <row r="938" ht="14.25" customHeight="1" x14ac:dyDescent="0.3"/>
    <row r="939" ht="14.25" customHeight="1" x14ac:dyDescent="0.3"/>
    <row r="940" ht="14.25" customHeight="1" x14ac:dyDescent="0.3"/>
    <row r="941" ht="14.25" customHeight="1" x14ac:dyDescent="0.3"/>
    <row r="942" ht="14.25" customHeight="1" x14ac:dyDescent="0.3"/>
    <row r="943" ht="14.25" customHeight="1" x14ac:dyDescent="0.3"/>
    <row r="944" ht="14.25" customHeight="1" x14ac:dyDescent="0.3"/>
    <row r="945" ht="14.25" customHeight="1" x14ac:dyDescent="0.3"/>
    <row r="946" ht="14.25" customHeight="1" x14ac:dyDescent="0.3"/>
    <row r="947" ht="14.25" customHeight="1" x14ac:dyDescent="0.3"/>
    <row r="948" ht="14.25" customHeight="1" x14ac:dyDescent="0.3"/>
    <row r="949" ht="14.25" customHeight="1" x14ac:dyDescent="0.3"/>
    <row r="950" ht="14.25" customHeight="1" x14ac:dyDescent="0.3"/>
    <row r="951" ht="14.25" customHeight="1" x14ac:dyDescent="0.3"/>
    <row r="952" ht="14.25" customHeight="1" x14ac:dyDescent="0.3"/>
    <row r="953" ht="14.25" customHeight="1" x14ac:dyDescent="0.3"/>
    <row r="954" ht="14.25" customHeight="1" x14ac:dyDescent="0.3"/>
    <row r="955" ht="14.25" customHeight="1" x14ac:dyDescent="0.3"/>
    <row r="956" ht="14.25" customHeight="1" x14ac:dyDescent="0.3"/>
    <row r="957" ht="14.25" customHeight="1" x14ac:dyDescent="0.3"/>
    <row r="958" ht="14.25" customHeight="1" x14ac:dyDescent="0.3"/>
    <row r="959" ht="14.25" customHeight="1" x14ac:dyDescent="0.3"/>
    <row r="960" ht="14.25" customHeight="1" x14ac:dyDescent="0.3"/>
    <row r="961" ht="14.25" customHeight="1" x14ac:dyDescent="0.3"/>
    <row r="962" ht="14.25" customHeight="1" x14ac:dyDescent="0.3"/>
    <row r="963" ht="14.25" customHeight="1" x14ac:dyDescent="0.3"/>
    <row r="964" ht="14.25" customHeight="1" x14ac:dyDescent="0.3"/>
    <row r="965" ht="14.25" customHeight="1" x14ac:dyDescent="0.3"/>
    <row r="966" ht="14.25" customHeight="1" x14ac:dyDescent="0.3"/>
    <row r="967" ht="14.25" customHeight="1" x14ac:dyDescent="0.3"/>
    <row r="968" ht="14.25" customHeight="1" x14ac:dyDescent="0.3"/>
    <row r="969" ht="14.25" customHeight="1" x14ac:dyDescent="0.3"/>
    <row r="970" ht="14.25" customHeight="1" x14ac:dyDescent="0.3"/>
    <row r="971" ht="14.25" customHeight="1" x14ac:dyDescent="0.3"/>
    <row r="972" ht="14.25" customHeight="1" x14ac:dyDescent="0.3"/>
    <row r="973" ht="14.25" customHeight="1" x14ac:dyDescent="0.3"/>
    <row r="974" ht="14.25" customHeight="1" x14ac:dyDescent="0.3"/>
    <row r="975" ht="14.25" customHeight="1" x14ac:dyDescent="0.3"/>
    <row r="976" ht="14.25" customHeight="1" x14ac:dyDescent="0.3"/>
    <row r="977" ht="14.25" customHeight="1" x14ac:dyDescent="0.3"/>
    <row r="978" ht="14.25" customHeight="1" x14ac:dyDescent="0.3"/>
    <row r="979" ht="14.25" customHeight="1" x14ac:dyDescent="0.3"/>
    <row r="980" ht="14.25" customHeight="1" x14ac:dyDescent="0.3"/>
    <row r="981" ht="14.25" customHeight="1" x14ac:dyDescent="0.3"/>
    <row r="982" ht="14.25" customHeight="1" x14ac:dyDescent="0.3"/>
    <row r="983" ht="14.25" customHeight="1" x14ac:dyDescent="0.3"/>
    <row r="984" ht="14.25" customHeight="1" x14ac:dyDescent="0.3"/>
    <row r="985" ht="14.25" customHeight="1" x14ac:dyDescent="0.3"/>
    <row r="986" ht="14.25" customHeight="1" x14ac:dyDescent="0.3"/>
    <row r="987" ht="14.25" customHeight="1" x14ac:dyDescent="0.3"/>
    <row r="988" ht="14.25" customHeight="1" x14ac:dyDescent="0.3"/>
    <row r="989" ht="14.25" customHeight="1" x14ac:dyDescent="0.3"/>
    <row r="990" ht="14.25" customHeight="1" x14ac:dyDescent="0.3"/>
    <row r="991" ht="14.25" customHeight="1" x14ac:dyDescent="0.3"/>
    <row r="992" ht="14.25" customHeight="1" x14ac:dyDescent="0.3"/>
    <row r="993" ht="14.25" customHeight="1" x14ac:dyDescent="0.3"/>
    <row r="994" ht="14.25" customHeight="1" x14ac:dyDescent="0.3"/>
    <row r="995" ht="14.25" customHeight="1" x14ac:dyDescent="0.3"/>
    <row r="996" ht="14.25" customHeight="1" x14ac:dyDescent="0.3"/>
    <row r="997" ht="14.25" customHeight="1" x14ac:dyDescent="0.3"/>
    <row r="998" ht="14.25" customHeight="1" x14ac:dyDescent="0.3"/>
    <row r="999" ht="14.25" customHeight="1" x14ac:dyDescent="0.3"/>
    <row r="1000" ht="14.25" customHeight="1" x14ac:dyDescent="0.3"/>
    <row r="1001" ht="14.25" customHeight="1" x14ac:dyDescent="0.3"/>
    <row r="1002" ht="14.25" customHeight="1" x14ac:dyDescent="0.3"/>
  </sheetData>
  <pageMargins left="0.7" right="0.7" top="0.75" bottom="0.75" header="0" footer="0"/>
  <pageSetup orientation="landscape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1:D1002"/>
  <sheetViews>
    <sheetView zoomScale="62" workbookViewId="0">
      <selection activeCell="C14" sqref="C14:D14"/>
    </sheetView>
  </sheetViews>
  <sheetFormatPr defaultColWidth="14.44140625" defaultRowHeight="15" customHeight="1" x14ac:dyDescent="0.3"/>
  <cols>
    <col min="1" max="2" width="8.6640625" customWidth="1"/>
    <col min="3" max="3" width="31.88671875" customWidth="1"/>
    <col min="4" max="4" width="24.6640625" customWidth="1"/>
    <col min="5" max="26" width="8.6640625" customWidth="1"/>
  </cols>
  <sheetData>
    <row r="1" spans="3:4" ht="14.25" customHeight="1" x14ac:dyDescent="0.3"/>
    <row r="2" spans="3:4" ht="14.25" customHeight="1" x14ac:dyDescent="0.3">
      <c r="C2" s="1" t="s">
        <v>0</v>
      </c>
      <c r="D2" s="1" t="s">
        <v>3</v>
      </c>
    </row>
    <row r="3" spans="3:4" ht="14.25" customHeight="1" x14ac:dyDescent="0.3">
      <c r="C3" s="2" t="s">
        <v>17</v>
      </c>
      <c r="D3" s="2">
        <f>SUM(Sheet1!K2:K3)</f>
        <v>0.48</v>
      </c>
    </row>
    <row r="4" spans="3:4" ht="14.25" customHeight="1" x14ac:dyDescent="0.3">
      <c r="C4" s="2" t="s">
        <v>6</v>
      </c>
      <c r="D4" s="2">
        <f>SUM(Sheet1!K4:K4)</f>
        <v>13.56</v>
      </c>
    </row>
    <row r="5" spans="3:4" ht="14.25" customHeight="1" x14ac:dyDescent="0.3">
      <c r="C5" s="2" t="s">
        <v>12</v>
      </c>
      <c r="D5" s="2">
        <f>Sheet1!K6</f>
        <v>0</v>
      </c>
    </row>
    <row r="6" spans="3:4" ht="14.25" customHeight="1" x14ac:dyDescent="0.3">
      <c r="C6" s="2" t="s">
        <v>14</v>
      </c>
      <c r="D6" s="2">
        <f>(Sheet1!K7)</f>
        <v>0</v>
      </c>
    </row>
    <row r="7" spans="3:4" ht="14.25" customHeight="1" x14ac:dyDescent="0.3">
      <c r="C7" s="2" t="s">
        <v>8</v>
      </c>
      <c r="D7" s="2">
        <f>(Sheet1!K8)</f>
        <v>0</v>
      </c>
    </row>
    <row r="8" spans="3:4" ht="14.25" customHeight="1" x14ac:dyDescent="0.3">
      <c r="C8" s="2" t="s">
        <v>10</v>
      </c>
      <c r="D8" s="2">
        <f>(Sheet1!K9)</f>
        <v>1.19</v>
      </c>
    </row>
    <row r="9" spans="3:4" ht="14.25" customHeight="1" x14ac:dyDescent="0.3">
      <c r="C9" s="2" t="s">
        <v>16</v>
      </c>
      <c r="D9" s="2">
        <f>SUM(Sheet1!K10:K11)</f>
        <v>0</v>
      </c>
    </row>
    <row r="10" spans="3:4" ht="14.25" customHeight="1" x14ac:dyDescent="0.3">
      <c r="C10" s="2" t="s">
        <v>11</v>
      </c>
      <c r="D10" s="2">
        <f>SUM(Sheet1!K12:K13)</f>
        <v>1</v>
      </c>
    </row>
    <row r="11" spans="3:4" ht="14.25" customHeight="1" x14ac:dyDescent="0.3">
      <c r="C11" s="2" t="s">
        <v>19</v>
      </c>
      <c r="D11" s="2">
        <f>(Sheet1!K14)</f>
        <v>20.8</v>
      </c>
    </row>
    <row r="12" spans="3:4" ht="14.25" customHeight="1" x14ac:dyDescent="0.3">
      <c r="C12" s="2" t="s">
        <v>41</v>
      </c>
      <c r="D12" s="2">
        <f>Sheet1!K16</f>
        <v>0</v>
      </c>
    </row>
    <row r="13" spans="3:4" ht="14.25" customHeight="1" x14ac:dyDescent="0.3">
      <c r="C13" s="2" t="s">
        <v>42</v>
      </c>
      <c r="D13" s="29">
        <f>Sheet1!K15</f>
        <v>1.5</v>
      </c>
    </row>
    <row r="14" spans="3:4" ht="14.25" customHeight="1" x14ac:dyDescent="0.3">
      <c r="C14" s="28"/>
      <c r="D14" s="28"/>
    </row>
    <row r="15" spans="3:4" ht="14.25" customHeight="1" x14ac:dyDescent="0.3">
      <c r="C15" s="28"/>
      <c r="D15" s="28"/>
    </row>
    <row r="16" spans="3:4" ht="14.25" customHeight="1" x14ac:dyDescent="0.3">
      <c r="D16" s="13">
        <f>SUM(D3:D14)</f>
        <v>38.53</v>
      </c>
    </row>
    <row r="17" spans="2:4" ht="14.25" customHeight="1" x14ac:dyDescent="0.3">
      <c r="D17" s="13">
        <f>B19/D16</f>
        <v>6.6991954321308071</v>
      </c>
    </row>
    <row r="18" spans="2:4" ht="14.25" customHeight="1" x14ac:dyDescent="0.3"/>
    <row r="19" spans="2:4" ht="14.25" customHeight="1" x14ac:dyDescent="0.3">
      <c r="B19">
        <f>'Diesel Consumed'!D16</f>
        <v>258.12</v>
      </c>
    </row>
    <row r="20" spans="2:4" ht="14.25" customHeight="1" x14ac:dyDescent="0.3"/>
    <row r="21" spans="2:4" ht="14.25" customHeight="1" x14ac:dyDescent="0.3"/>
    <row r="22" spans="2:4" ht="14.25" customHeight="1" x14ac:dyDescent="0.3"/>
    <row r="23" spans="2:4" ht="14.25" customHeight="1" x14ac:dyDescent="0.3"/>
    <row r="24" spans="2:4" ht="14.25" customHeight="1" x14ac:dyDescent="0.3"/>
    <row r="25" spans="2:4" ht="14.25" customHeight="1" x14ac:dyDescent="0.3"/>
    <row r="26" spans="2:4" ht="14.25" customHeight="1" x14ac:dyDescent="0.3"/>
    <row r="27" spans="2:4" ht="14.25" customHeight="1" x14ac:dyDescent="0.3"/>
    <row r="28" spans="2:4" ht="14.25" customHeight="1" x14ac:dyDescent="0.3"/>
    <row r="29" spans="2:4" ht="14.25" customHeight="1" x14ac:dyDescent="0.3"/>
    <row r="30" spans="2:4" ht="14.25" customHeight="1" x14ac:dyDescent="0.3"/>
    <row r="31" spans="2:4" ht="14.25" customHeight="1" x14ac:dyDescent="0.3"/>
    <row r="32" spans="2:4" ht="14.25" customHeight="1" x14ac:dyDescent="0.3"/>
    <row r="33" ht="14.25" customHeight="1" x14ac:dyDescent="0.3"/>
    <row r="34" ht="14.25" customHeight="1" x14ac:dyDescent="0.3"/>
    <row r="35" ht="14.25" customHeight="1" x14ac:dyDescent="0.3"/>
    <row r="36" ht="14.25" customHeight="1" x14ac:dyDescent="0.3"/>
    <row r="37" ht="14.25" customHeight="1" x14ac:dyDescent="0.3"/>
    <row r="38" ht="14.25" customHeight="1" x14ac:dyDescent="0.3"/>
    <row r="39" ht="14.25" customHeight="1" x14ac:dyDescent="0.3"/>
    <row r="40" ht="14.25" customHeight="1" x14ac:dyDescent="0.3"/>
    <row r="41" ht="14.25" customHeight="1" x14ac:dyDescent="0.3"/>
    <row r="42" ht="14.25" customHeight="1" x14ac:dyDescent="0.3"/>
    <row r="43" ht="14.25" customHeight="1" x14ac:dyDescent="0.3"/>
    <row r="44" ht="14.25" customHeight="1" x14ac:dyDescent="0.3"/>
    <row r="45" ht="14.25" customHeight="1" x14ac:dyDescent="0.3"/>
    <row r="46" ht="14.25" customHeight="1" x14ac:dyDescent="0.3"/>
    <row r="47" ht="14.25" customHeight="1" x14ac:dyDescent="0.3"/>
    <row r="48" ht="14.25" customHeight="1" x14ac:dyDescent="0.3"/>
    <row r="49" ht="14.25" customHeight="1" x14ac:dyDescent="0.3"/>
    <row r="50" ht="14.25" customHeight="1" x14ac:dyDescent="0.3"/>
    <row r="51" ht="14.25" customHeight="1" x14ac:dyDescent="0.3"/>
    <row r="52" ht="14.25" customHeight="1" x14ac:dyDescent="0.3"/>
    <row r="53" ht="14.25" customHeight="1" x14ac:dyDescent="0.3"/>
    <row r="54" ht="14.25" customHeight="1" x14ac:dyDescent="0.3"/>
    <row r="55" ht="14.25" customHeight="1" x14ac:dyDescent="0.3"/>
    <row r="56" ht="14.25" customHeight="1" x14ac:dyDescent="0.3"/>
    <row r="57" ht="14.25" customHeight="1" x14ac:dyDescent="0.3"/>
    <row r="58" ht="14.25" customHeight="1" x14ac:dyDescent="0.3"/>
    <row r="59" ht="14.25" customHeight="1" x14ac:dyDescent="0.3"/>
    <row r="60" ht="14.25" customHeight="1" x14ac:dyDescent="0.3"/>
    <row r="61" ht="14.25" customHeight="1" x14ac:dyDescent="0.3"/>
    <row r="62" ht="14.25" customHeight="1" x14ac:dyDescent="0.3"/>
    <row r="63" ht="14.25" customHeight="1" x14ac:dyDescent="0.3"/>
    <row r="64" ht="14.25" customHeight="1" x14ac:dyDescent="0.3"/>
    <row r="65" ht="14.25" customHeight="1" x14ac:dyDescent="0.3"/>
    <row r="66" ht="14.25" customHeight="1" x14ac:dyDescent="0.3"/>
    <row r="67" ht="14.25" customHeight="1" x14ac:dyDescent="0.3"/>
    <row r="68" ht="14.25" customHeight="1" x14ac:dyDescent="0.3"/>
    <row r="69" ht="14.25" customHeight="1" x14ac:dyDescent="0.3"/>
    <row r="70" ht="14.25" customHeight="1" x14ac:dyDescent="0.3"/>
    <row r="71" ht="14.25" customHeight="1" x14ac:dyDescent="0.3"/>
    <row r="72" ht="14.25" customHeight="1" x14ac:dyDescent="0.3"/>
    <row r="73" ht="14.25" customHeight="1" x14ac:dyDescent="0.3"/>
    <row r="74" ht="14.25" customHeight="1" x14ac:dyDescent="0.3"/>
    <row r="75" ht="14.25" customHeight="1" x14ac:dyDescent="0.3"/>
    <row r="76" ht="14.25" customHeight="1" x14ac:dyDescent="0.3"/>
    <row r="77" ht="14.25" customHeight="1" x14ac:dyDescent="0.3"/>
    <row r="78" ht="14.25" customHeight="1" x14ac:dyDescent="0.3"/>
    <row r="79" ht="14.25" customHeight="1" x14ac:dyDescent="0.3"/>
    <row r="80" ht="14.25" customHeight="1" x14ac:dyDescent="0.3"/>
    <row r="81" ht="14.25" customHeight="1" x14ac:dyDescent="0.3"/>
    <row r="82" ht="14.25" customHeight="1" x14ac:dyDescent="0.3"/>
    <row r="83" ht="14.25" customHeight="1" x14ac:dyDescent="0.3"/>
    <row r="84" ht="14.25" customHeight="1" x14ac:dyDescent="0.3"/>
    <row r="85" ht="14.25" customHeight="1" x14ac:dyDescent="0.3"/>
    <row r="86" ht="14.25" customHeight="1" x14ac:dyDescent="0.3"/>
    <row r="87" ht="14.25" customHeight="1" x14ac:dyDescent="0.3"/>
    <row r="88" ht="14.25" customHeight="1" x14ac:dyDescent="0.3"/>
    <row r="89" ht="14.25" customHeight="1" x14ac:dyDescent="0.3"/>
    <row r="90" ht="14.25" customHeight="1" x14ac:dyDescent="0.3"/>
    <row r="91" ht="14.25" customHeight="1" x14ac:dyDescent="0.3"/>
    <row r="92" ht="14.25" customHeight="1" x14ac:dyDescent="0.3"/>
    <row r="93" ht="14.25" customHeight="1" x14ac:dyDescent="0.3"/>
    <row r="94" ht="14.25" customHeight="1" x14ac:dyDescent="0.3"/>
    <row r="95" ht="14.25" customHeight="1" x14ac:dyDescent="0.3"/>
    <row r="96" ht="14.25" customHeight="1" x14ac:dyDescent="0.3"/>
    <row r="97" ht="14.25" customHeight="1" x14ac:dyDescent="0.3"/>
    <row r="98" ht="14.25" customHeight="1" x14ac:dyDescent="0.3"/>
    <row r="99" ht="14.25" customHeight="1" x14ac:dyDescent="0.3"/>
    <row r="100" ht="14.25" customHeight="1" x14ac:dyDescent="0.3"/>
    <row r="101" ht="14.25" customHeight="1" x14ac:dyDescent="0.3"/>
    <row r="102" ht="14.25" customHeight="1" x14ac:dyDescent="0.3"/>
    <row r="103" ht="14.25" customHeight="1" x14ac:dyDescent="0.3"/>
    <row r="104" ht="14.25" customHeight="1" x14ac:dyDescent="0.3"/>
    <row r="105" ht="14.25" customHeight="1" x14ac:dyDescent="0.3"/>
    <row r="106" ht="14.25" customHeight="1" x14ac:dyDescent="0.3"/>
    <row r="107" ht="14.25" customHeight="1" x14ac:dyDescent="0.3"/>
    <row r="108" ht="14.25" customHeight="1" x14ac:dyDescent="0.3"/>
    <row r="109" ht="14.25" customHeight="1" x14ac:dyDescent="0.3"/>
    <row r="110" ht="14.25" customHeight="1" x14ac:dyDescent="0.3"/>
    <row r="111" ht="14.25" customHeight="1" x14ac:dyDescent="0.3"/>
    <row r="112" ht="14.25" customHeight="1" x14ac:dyDescent="0.3"/>
    <row r="113" ht="14.25" customHeight="1" x14ac:dyDescent="0.3"/>
    <row r="114" ht="14.25" customHeight="1" x14ac:dyDescent="0.3"/>
    <row r="115" ht="14.25" customHeight="1" x14ac:dyDescent="0.3"/>
    <row r="116" ht="14.25" customHeight="1" x14ac:dyDescent="0.3"/>
    <row r="117" ht="14.25" customHeight="1" x14ac:dyDescent="0.3"/>
    <row r="118" ht="14.25" customHeight="1" x14ac:dyDescent="0.3"/>
    <row r="119" ht="14.25" customHeight="1" x14ac:dyDescent="0.3"/>
    <row r="120" ht="14.25" customHeight="1" x14ac:dyDescent="0.3"/>
    <row r="121" ht="14.25" customHeight="1" x14ac:dyDescent="0.3"/>
    <row r="122" ht="14.25" customHeight="1" x14ac:dyDescent="0.3"/>
    <row r="123" ht="14.25" customHeight="1" x14ac:dyDescent="0.3"/>
    <row r="124" ht="14.25" customHeight="1" x14ac:dyDescent="0.3"/>
    <row r="125" ht="14.25" customHeight="1" x14ac:dyDescent="0.3"/>
    <row r="126" ht="14.25" customHeight="1" x14ac:dyDescent="0.3"/>
    <row r="127" ht="14.25" customHeight="1" x14ac:dyDescent="0.3"/>
    <row r="128" ht="14.25" customHeight="1" x14ac:dyDescent="0.3"/>
    <row r="129" ht="14.25" customHeight="1" x14ac:dyDescent="0.3"/>
    <row r="130" ht="14.25" customHeight="1" x14ac:dyDescent="0.3"/>
    <row r="131" ht="14.25" customHeight="1" x14ac:dyDescent="0.3"/>
    <row r="132" ht="14.25" customHeight="1" x14ac:dyDescent="0.3"/>
    <row r="133" ht="14.25" customHeight="1" x14ac:dyDescent="0.3"/>
    <row r="134" ht="14.25" customHeight="1" x14ac:dyDescent="0.3"/>
    <row r="135" ht="14.25" customHeight="1" x14ac:dyDescent="0.3"/>
    <row r="136" ht="14.25" customHeight="1" x14ac:dyDescent="0.3"/>
    <row r="137" ht="14.25" customHeight="1" x14ac:dyDescent="0.3"/>
    <row r="138" ht="14.25" customHeight="1" x14ac:dyDescent="0.3"/>
    <row r="139" ht="14.25" customHeight="1" x14ac:dyDescent="0.3"/>
    <row r="140" ht="14.25" customHeight="1" x14ac:dyDescent="0.3"/>
    <row r="141" ht="14.25" customHeight="1" x14ac:dyDescent="0.3"/>
    <row r="142" ht="14.25" customHeight="1" x14ac:dyDescent="0.3"/>
    <row r="143" ht="14.25" customHeight="1" x14ac:dyDescent="0.3"/>
    <row r="144" ht="14.25" customHeight="1" x14ac:dyDescent="0.3"/>
    <row r="145" ht="14.25" customHeight="1" x14ac:dyDescent="0.3"/>
    <row r="146" ht="14.25" customHeight="1" x14ac:dyDescent="0.3"/>
    <row r="147" ht="14.25" customHeight="1" x14ac:dyDescent="0.3"/>
    <row r="148" ht="14.25" customHeight="1" x14ac:dyDescent="0.3"/>
    <row r="149" ht="14.25" customHeight="1" x14ac:dyDescent="0.3"/>
    <row r="150" ht="14.25" customHeight="1" x14ac:dyDescent="0.3"/>
    <row r="151" ht="14.25" customHeight="1" x14ac:dyDescent="0.3"/>
    <row r="152" ht="14.25" customHeight="1" x14ac:dyDescent="0.3"/>
    <row r="153" ht="14.25" customHeight="1" x14ac:dyDescent="0.3"/>
    <row r="154" ht="14.25" customHeight="1" x14ac:dyDescent="0.3"/>
    <row r="155" ht="14.25" customHeight="1" x14ac:dyDescent="0.3"/>
    <row r="156" ht="14.25" customHeight="1" x14ac:dyDescent="0.3"/>
    <row r="157" ht="14.25" customHeight="1" x14ac:dyDescent="0.3"/>
    <row r="158" ht="14.25" customHeight="1" x14ac:dyDescent="0.3"/>
    <row r="159" ht="14.25" customHeight="1" x14ac:dyDescent="0.3"/>
    <row r="160" ht="14.25" customHeight="1" x14ac:dyDescent="0.3"/>
    <row r="161" ht="14.25" customHeight="1" x14ac:dyDescent="0.3"/>
    <row r="162" ht="14.25" customHeight="1" x14ac:dyDescent="0.3"/>
    <row r="163" ht="14.25" customHeight="1" x14ac:dyDescent="0.3"/>
    <row r="164" ht="14.25" customHeight="1" x14ac:dyDescent="0.3"/>
    <row r="165" ht="14.25" customHeight="1" x14ac:dyDescent="0.3"/>
    <row r="166" ht="14.25" customHeight="1" x14ac:dyDescent="0.3"/>
    <row r="167" ht="14.25" customHeight="1" x14ac:dyDescent="0.3"/>
    <row r="168" ht="14.25" customHeight="1" x14ac:dyDescent="0.3"/>
    <row r="169" ht="14.25" customHeight="1" x14ac:dyDescent="0.3"/>
    <row r="170" ht="14.25" customHeight="1" x14ac:dyDescent="0.3"/>
    <row r="171" ht="14.25" customHeight="1" x14ac:dyDescent="0.3"/>
    <row r="172" ht="14.25" customHeight="1" x14ac:dyDescent="0.3"/>
    <row r="173" ht="14.25" customHeight="1" x14ac:dyDescent="0.3"/>
    <row r="174" ht="14.25" customHeight="1" x14ac:dyDescent="0.3"/>
    <row r="175" ht="14.25" customHeight="1" x14ac:dyDescent="0.3"/>
    <row r="176" ht="14.25" customHeight="1" x14ac:dyDescent="0.3"/>
    <row r="177" ht="14.25" customHeight="1" x14ac:dyDescent="0.3"/>
    <row r="178" ht="14.25" customHeight="1" x14ac:dyDescent="0.3"/>
    <row r="179" ht="14.25" customHeight="1" x14ac:dyDescent="0.3"/>
    <row r="180" ht="14.25" customHeight="1" x14ac:dyDescent="0.3"/>
    <row r="181" ht="14.25" customHeight="1" x14ac:dyDescent="0.3"/>
    <row r="182" ht="14.25" customHeight="1" x14ac:dyDescent="0.3"/>
    <row r="183" ht="14.25" customHeight="1" x14ac:dyDescent="0.3"/>
    <row r="184" ht="14.25" customHeight="1" x14ac:dyDescent="0.3"/>
    <row r="185" ht="14.25" customHeight="1" x14ac:dyDescent="0.3"/>
    <row r="186" ht="14.25" customHeight="1" x14ac:dyDescent="0.3"/>
    <row r="187" ht="14.25" customHeight="1" x14ac:dyDescent="0.3"/>
    <row r="188" ht="14.25" customHeight="1" x14ac:dyDescent="0.3"/>
    <row r="189" ht="14.25" customHeight="1" x14ac:dyDescent="0.3"/>
    <row r="190" ht="14.25" customHeight="1" x14ac:dyDescent="0.3"/>
    <row r="191" ht="14.25" customHeight="1" x14ac:dyDescent="0.3"/>
    <row r="192" ht="14.25" customHeight="1" x14ac:dyDescent="0.3"/>
    <row r="193" ht="14.25" customHeight="1" x14ac:dyDescent="0.3"/>
    <row r="194" ht="14.25" customHeight="1" x14ac:dyDescent="0.3"/>
    <row r="195" ht="14.25" customHeight="1" x14ac:dyDescent="0.3"/>
    <row r="196" ht="14.25" customHeight="1" x14ac:dyDescent="0.3"/>
    <row r="197" ht="14.25" customHeight="1" x14ac:dyDescent="0.3"/>
    <row r="198" ht="14.25" customHeight="1" x14ac:dyDescent="0.3"/>
    <row r="199" ht="14.25" customHeight="1" x14ac:dyDescent="0.3"/>
    <row r="200" ht="14.25" customHeight="1" x14ac:dyDescent="0.3"/>
    <row r="201" ht="14.25" customHeight="1" x14ac:dyDescent="0.3"/>
    <row r="202" ht="14.25" customHeight="1" x14ac:dyDescent="0.3"/>
    <row r="203" ht="14.25" customHeight="1" x14ac:dyDescent="0.3"/>
    <row r="204" ht="14.25" customHeight="1" x14ac:dyDescent="0.3"/>
    <row r="205" ht="14.25" customHeight="1" x14ac:dyDescent="0.3"/>
    <row r="206" ht="14.25" customHeight="1" x14ac:dyDescent="0.3"/>
    <row r="207" ht="14.25" customHeight="1" x14ac:dyDescent="0.3"/>
    <row r="208" ht="14.25" customHeight="1" x14ac:dyDescent="0.3"/>
    <row r="209" ht="14.25" customHeight="1" x14ac:dyDescent="0.3"/>
    <row r="210" ht="14.25" customHeight="1" x14ac:dyDescent="0.3"/>
    <row r="211" ht="14.25" customHeight="1" x14ac:dyDescent="0.3"/>
    <row r="212" ht="14.25" customHeight="1" x14ac:dyDescent="0.3"/>
    <row r="213" ht="14.25" customHeight="1" x14ac:dyDescent="0.3"/>
    <row r="214" ht="14.25" customHeight="1" x14ac:dyDescent="0.3"/>
    <row r="215" ht="14.25" customHeight="1" x14ac:dyDescent="0.3"/>
    <row r="216" ht="14.25" customHeight="1" x14ac:dyDescent="0.3"/>
    <row r="217" ht="14.25" customHeight="1" x14ac:dyDescent="0.3"/>
    <row r="218" ht="14.25" customHeight="1" x14ac:dyDescent="0.3"/>
    <row r="219" ht="14.25" customHeight="1" x14ac:dyDescent="0.3"/>
    <row r="220" ht="14.25" customHeight="1" x14ac:dyDescent="0.3"/>
    <row r="221" ht="14.25" customHeight="1" x14ac:dyDescent="0.3"/>
    <row r="222" ht="14.25" customHeight="1" x14ac:dyDescent="0.3"/>
    <row r="223" ht="14.25" customHeight="1" x14ac:dyDescent="0.3"/>
    <row r="224" ht="14.25" customHeight="1" x14ac:dyDescent="0.3"/>
    <row r="225" ht="14.25" customHeight="1" x14ac:dyDescent="0.3"/>
    <row r="226" ht="14.25" customHeight="1" x14ac:dyDescent="0.3"/>
    <row r="227" ht="14.25" customHeight="1" x14ac:dyDescent="0.3"/>
    <row r="228" ht="14.25" customHeight="1" x14ac:dyDescent="0.3"/>
    <row r="229" ht="14.25" customHeight="1" x14ac:dyDescent="0.3"/>
    <row r="230" ht="14.25" customHeight="1" x14ac:dyDescent="0.3"/>
    <row r="231" ht="14.25" customHeight="1" x14ac:dyDescent="0.3"/>
    <row r="232" ht="14.25" customHeight="1" x14ac:dyDescent="0.3"/>
    <row r="233" ht="14.25" customHeight="1" x14ac:dyDescent="0.3"/>
    <row r="234" ht="14.25" customHeight="1" x14ac:dyDescent="0.3"/>
    <row r="235" ht="14.25" customHeight="1" x14ac:dyDescent="0.3"/>
    <row r="236" ht="14.25" customHeight="1" x14ac:dyDescent="0.3"/>
    <row r="237" ht="14.25" customHeight="1" x14ac:dyDescent="0.3"/>
    <row r="238" ht="14.25" customHeight="1" x14ac:dyDescent="0.3"/>
    <row r="239" ht="14.25" customHeight="1" x14ac:dyDescent="0.3"/>
    <row r="240" ht="14.25" customHeight="1" x14ac:dyDescent="0.3"/>
    <row r="241" ht="14.25" customHeight="1" x14ac:dyDescent="0.3"/>
    <row r="242" ht="14.25" customHeight="1" x14ac:dyDescent="0.3"/>
    <row r="243" ht="14.25" customHeight="1" x14ac:dyDescent="0.3"/>
    <row r="244" ht="14.25" customHeight="1" x14ac:dyDescent="0.3"/>
    <row r="245" ht="14.25" customHeight="1" x14ac:dyDescent="0.3"/>
    <row r="246" ht="14.25" customHeight="1" x14ac:dyDescent="0.3"/>
    <row r="247" ht="14.25" customHeight="1" x14ac:dyDescent="0.3"/>
    <row r="248" ht="14.25" customHeight="1" x14ac:dyDescent="0.3"/>
    <row r="249" ht="14.25" customHeight="1" x14ac:dyDescent="0.3"/>
    <row r="250" ht="14.25" customHeight="1" x14ac:dyDescent="0.3"/>
    <row r="251" ht="14.25" customHeight="1" x14ac:dyDescent="0.3"/>
    <row r="252" ht="14.25" customHeight="1" x14ac:dyDescent="0.3"/>
    <row r="253" ht="14.25" customHeight="1" x14ac:dyDescent="0.3"/>
    <row r="254" ht="14.25" customHeight="1" x14ac:dyDescent="0.3"/>
    <row r="255" ht="14.25" customHeight="1" x14ac:dyDescent="0.3"/>
    <row r="256" ht="14.25" customHeight="1" x14ac:dyDescent="0.3"/>
    <row r="257" ht="14.25" customHeight="1" x14ac:dyDescent="0.3"/>
    <row r="258" ht="14.25" customHeight="1" x14ac:dyDescent="0.3"/>
    <row r="259" ht="14.25" customHeight="1" x14ac:dyDescent="0.3"/>
    <row r="260" ht="14.25" customHeight="1" x14ac:dyDescent="0.3"/>
    <row r="261" ht="14.25" customHeight="1" x14ac:dyDescent="0.3"/>
    <row r="262" ht="14.25" customHeight="1" x14ac:dyDescent="0.3"/>
    <row r="263" ht="14.25" customHeight="1" x14ac:dyDescent="0.3"/>
    <row r="264" ht="14.25" customHeight="1" x14ac:dyDescent="0.3"/>
    <row r="265" ht="14.25" customHeight="1" x14ac:dyDescent="0.3"/>
    <row r="266" ht="14.25" customHeight="1" x14ac:dyDescent="0.3"/>
    <row r="267" ht="14.25" customHeight="1" x14ac:dyDescent="0.3"/>
    <row r="268" ht="14.25" customHeight="1" x14ac:dyDescent="0.3"/>
    <row r="269" ht="14.25" customHeight="1" x14ac:dyDescent="0.3"/>
    <row r="270" ht="14.25" customHeight="1" x14ac:dyDescent="0.3"/>
    <row r="271" ht="14.25" customHeight="1" x14ac:dyDescent="0.3"/>
    <row r="272" ht="14.25" customHeight="1" x14ac:dyDescent="0.3"/>
    <row r="273" ht="14.25" customHeight="1" x14ac:dyDescent="0.3"/>
    <row r="274" ht="14.25" customHeight="1" x14ac:dyDescent="0.3"/>
    <row r="275" ht="14.25" customHeight="1" x14ac:dyDescent="0.3"/>
    <row r="276" ht="14.25" customHeight="1" x14ac:dyDescent="0.3"/>
    <row r="277" ht="14.25" customHeight="1" x14ac:dyDescent="0.3"/>
    <row r="278" ht="14.25" customHeight="1" x14ac:dyDescent="0.3"/>
    <row r="279" ht="14.25" customHeight="1" x14ac:dyDescent="0.3"/>
    <row r="280" ht="14.25" customHeight="1" x14ac:dyDescent="0.3"/>
    <row r="281" ht="14.25" customHeight="1" x14ac:dyDescent="0.3"/>
    <row r="282" ht="14.25" customHeight="1" x14ac:dyDescent="0.3"/>
    <row r="283" ht="14.25" customHeight="1" x14ac:dyDescent="0.3"/>
    <row r="284" ht="14.25" customHeight="1" x14ac:dyDescent="0.3"/>
    <row r="285" ht="14.25" customHeight="1" x14ac:dyDescent="0.3"/>
    <row r="286" ht="14.25" customHeight="1" x14ac:dyDescent="0.3"/>
    <row r="287" ht="14.25" customHeight="1" x14ac:dyDescent="0.3"/>
    <row r="288" ht="14.25" customHeight="1" x14ac:dyDescent="0.3"/>
    <row r="289" ht="14.25" customHeight="1" x14ac:dyDescent="0.3"/>
    <row r="290" ht="14.25" customHeight="1" x14ac:dyDescent="0.3"/>
    <row r="291" ht="14.25" customHeight="1" x14ac:dyDescent="0.3"/>
    <row r="292" ht="14.25" customHeight="1" x14ac:dyDescent="0.3"/>
    <row r="293" ht="14.25" customHeight="1" x14ac:dyDescent="0.3"/>
    <row r="294" ht="14.25" customHeight="1" x14ac:dyDescent="0.3"/>
    <row r="295" ht="14.25" customHeight="1" x14ac:dyDescent="0.3"/>
    <row r="296" ht="14.25" customHeight="1" x14ac:dyDescent="0.3"/>
    <row r="297" ht="14.25" customHeight="1" x14ac:dyDescent="0.3"/>
    <row r="298" ht="14.25" customHeight="1" x14ac:dyDescent="0.3"/>
    <row r="299" ht="14.25" customHeight="1" x14ac:dyDescent="0.3"/>
    <row r="300" ht="14.25" customHeight="1" x14ac:dyDescent="0.3"/>
    <row r="301" ht="14.25" customHeight="1" x14ac:dyDescent="0.3"/>
    <row r="302" ht="14.25" customHeight="1" x14ac:dyDescent="0.3"/>
    <row r="303" ht="14.25" customHeight="1" x14ac:dyDescent="0.3"/>
    <row r="304" ht="14.25" customHeight="1" x14ac:dyDescent="0.3"/>
    <row r="305" ht="14.25" customHeight="1" x14ac:dyDescent="0.3"/>
    <row r="306" ht="14.25" customHeight="1" x14ac:dyDescent="0.3"/>
    <row r="307" ht="14.25" customHeight="1" x14ac:dyDescent="0.3"/>
    <row r="308" ht="14.25" customHeight="1" x14ac:dyDescent="0.3"/>
    <row r="309" ht="14.25" customHeight="1" x14ac:dyDescent="0.3"/>
    <row r="310" ht="14.25" customHeight="1" x14ac:dyDescent="0.3"/>
    <row r="311" ht="14.25" customHeight="1" x14ac:dyDescent="0.3"/>
    <row r="312" ht="14.25" customHeight="1" x14ac:dyDescent="0.3"/>
    <row r="313" ht="14.25" customHeight="1" x14ac:dyDescent="0.3"/>
    <row r="314" ht="14.25" customHeight="1" x14ac:dyDescent="0.3"/>
    <row r="315" ht="14.25" customHeight="1" x14ac:dyDescent="0.3"/>
    <row r="316" ht="14.25" customHeight="1" x14ac:dyDescent="0.3"/>
    <row r="317" ht="14.25" customHeight="1" x14ac:dyDescent="0.3"/>
    <row r="318" ht="14.25" customHeight="1" x14ac:dyDescent="0.3"/>
    <row r="319" ht="14.25" customHeight="1" x14ac:dyDescent="0.3"/>
    <row r="320" ht="14.25" customHeight="1" x14ac:dyDescent="0.3"/>
    <row r="321" ht="14.25" customHeight="1" x14ac:dyDescent="0.3"/>
    <row r="322" ht="14.25" customHeight="1" x14ac:dyDescent="0.3"/>
    <row r="323" ht="14.25" customHeight="1" x14ac:dyDescent="0.3"/>
    <row r="324" ht="14.25" customHeight="1" x14ac:dyDescent="0.3"/>
    <row r="325" ht="14.25" customHeight="1" x14ac:dyDescent="0.3"/>
    <row r="326" ht="14.25" customHeight="1" x14ac:dyDescent="0.3"/>
    <row r="327" ht="14.25" customHeight="1" x14ac:dyDescent="0.3"/>
    <row r="328" ht="14.25" customHeight="1" x14ac:dyDescent="0.3"/>
    <row r="329" ht="14.25" customHeight="1" x14ac:dyDescent="0.3"/>
    <row r="330" ht="14.25" customHeight="1" x14ac:dyDescent="0.3"/>
    <row r="331" ht="14.25" customHeight="1" x14ac:dyDescent="0.3"/>
    <row r="332" ht="14.25" customHeight="1" x14ac:dyDescent="0.3"/>
    <row r="333" ht="14.25" customHeight="1" x14ac:dyDescent="0.3"/>
    <row r="334" ht="14.25" customHeight="1" x14ac:dyDescent="0.3"/>
    <row r="335" ht="14.25" customHeight="1" x14ac:dyDescent="0.3"/>
    <row r="336" ht="14.25" customHeight="1" x14ac:dyDescent="0.3"/>
    <row r="337" ht="14.25" customHeight="1" x14ac:dyDescent="0.3"/>
    <row r="338" ht="14.25" customHeight="1" x14ac:dyDescent="0.3"/>
    <row r="339" ht="14.25" customHeight="1" x14ac:dyDescent="0.3"/>
    <row r="340" ht="14.25" customHeight="1" x14ac:dyDescent="0.3"/>
    <row r="341" ht="14.25" customHeight="1" x14ac:dyDescent="0.3"/>
    <row r="342" ht="14.25" customHeight="1" x14ac:dyDescent="0.3"/>
    <row r="343" ht="14.25" customHeight="1" x14ac:dyDescent="0.3"/>
    <row r="344" ht="14.25" customHeight="1" x14ac:dyDescent="0.3"/>
    <row r="345" ht="14.25" customHeight="1" x14ac:dyDescent="0.3"/>
    <row r="346" ht="14.25" customHeight="1" x14ac:dyDescent="0.3"/>
    <row r="347" ht="14.25" customHeight="1" x14ac:dyDescent="0.3"/>
    <row r="348" ht="14.25" customHeight="1" x14ac:dyDescent="0.3"/>
    <row r="349" ht="14.25" customHeight="1" x14ac:dyDescent="0.3"/>
    <row r="350" ht="14.25" customHeight="1" x14ac:dyDescent="0.3"/>
    <row r="351" ht="14.25" customHeight="1" x14ac:dyDescent="0.3"/>
    <row r="352" ht="14.25" customHeight="1" x14ac:dyDescent="0.3"/>
    <row r="353" ht="14.25" customHeight="1" x14ac:dyDescent="0.3"/>
    <row r="354" ht="14.25" customHeight="1" x14ac:dyDescent="0.3"/>
    <row r="355" ht="14.25" customHeight="1" x14ac:dyDescent="0.3"/>
    <row r="356" ht="14.25" customHeight="1" x14ac:dyDescent="0.3"/>
    <row r="357" ht="14.25" customHeight="1" x14ac:dyDescent="0.3"/>
    <row r="358" ht="14.25" customHeight="1" x14ac:dyDescent="0.3"/>
    <row r="359" ht="14.25" customHeight="1" x14ac:dyDescent="0.3"/>
    <row r="360" ht="14.25" customHeight="1" x14ac:dyDescent="0.3"/>
    <row r="361" ht="14.25" customHeight="1" x14ac:dyDescent="0.3"/>
    <row r="362" ht="14.25" customHeight="1" x14ac:dyDescent="0.3"/>
    <row r="363" ht="14.25" customHeight="1" x14ac:dyDescent="0.3"/>
    <row r="364" ht="14.25" customHeight="1" x14ac:dyDescent="0.3"/>
    <row r="365" ht="14.25" customHeight="1" x14ac:dyDescent="0.3"/>
    <row r="366" ht="14.25" customHeight="1" x14ac:dyDescent="0.3"/>
    <row r="367" ht="14.25" customHeight="1" x14ac:dyDescent="0.3"/>
    <row r="368" ht="14.25" customHeight="1" x14ac:dyDescent="0.3"/>
    <row r="369" ht="14.25" customHeight="1" x14ac:dyDescent="0.3"/>
    <row r="370" ht="14.25" customHeight="1" x14ac:dyDescent="0.3"/>
    <row r="371" ht="14.25" customHeight="1" x14ac:dyDescent="0.3"/>
    <row r="372" ht="14.25" customHeight="1" x14ac:dyDescent="0.3"/>
    <row r="373" ht="14.25" customHeight="1" x14ac:dyDescent="0.3"/>
    <row r="374" ht="14.25" customHeight="1" x14ac:dyDescent="0.3"/>
    <row r="375" ht="14.25" customHeight="1" x14ac:dyDescent="0.3"/>
    <row r="376" ht="14.25" customHeight="1" x14ac:dyDescent="0.3"/>
    <row r="377" ht="14.25" customHeight="1" x14ac:dyDescent="0.3"/>
    <row r="378" ht="14.25" customHeight="1" x14ac:dyDescent="0.3"/>
    <row r="379" ht="14.25" customHeight="1" x14ac:dyDescent="0.3"/>
    <row r="380" ht="14.25" customHeight="1" x14ac:dyDescent="0.3"/>
    <row r="381" ht="14.25" customHeight="1" x14ac:dyDescent="0.3"/>
    <row r="382" ht="14.25" customHeight="1" x14ac:dyDescent="0.3"/>
    <row r="383" ht="14.25" customHeight="1" x14ac:dyDescent="0.3"/>
    <row r="384" ht="14.25" customHeight="1" x14ac:dyDescent="0.3"/>
    <row r="385" ht="14.25" customHeight="1" x14ac:dyDescent="0.3"/>
    <row r="386" ht="14.25" customHeight="1" x14ac:dyDescent="0.3"/>
    <row r="387" ht="14.25" customHeight="1" x14ac:dyDescent="0.3"/>
    <row r="388" ht="14.25" customHeight="1" x14ac:dyDescent="0.3"/>
    <row r="389" ht="14.25" customHeight="1" x14ac:dyDescent="0.3"/>
    <row r="390" ht="14.25" customHeight="1" x14ac:dyDescent="0.3"/>
    <row r="391" ht="14.25" customHeight="1" x14ac:dyDescent="0.3"/>
    <row r="392" ht="14.25" customHeight="1" x14ac:dyDescent="0.3"/>
    <row r="393" ht="14.25" customHeight="1" x14ac:dyDescent="0.3"/>
    <row r="394" ht="14.25" customHeight="1" x14ac:dyDescent="0.3"/>
    <row r="395" ht="14.25" customHeight="1" x14ac:dyDescent="0.3"/>
    <row r="396" ht="14.25" customHeight="1" x14ac:dyDescent="0.3"/>
    <row r="397" ht="14.25" customHeight="1" x14ac:dyDescent="0.3"/>
    <row r="398" ht="14.25" customHeight="1" x14ac:dyDescent="0.3"/>
    <row r="399" ht="14.25" customHeight="1" x14ac:dyDescent="0.3"/>
    <row r="400" ht="14.25" customHeight="1" x14ac:dyDescent="0.3"/>
    <row r="401" ht="14.25" customHeight="1" x14ac:dyDescent="0.3"/>
    <row r="402" ht="14.25" customHeight="1" x14ac:dyDescent="0.3"/>
    <row r="403" ht="14.25" customHeight="1" x14ac:dyDescent="0.3"/>
    <row r="404" ht="14.25" customHeight="1" x14ac:dyDescent="0.3"/>
    <row r="405" ht="14.25" customHeight="1" x14ac:dyDescent="0.3"/>
    <row r="406" ht="14.25" customHeight="1" x14ac:dyDescent="0.3"/>
    <row r="407" ht="14.25" customHeight="1" x14ac:dyDescent="0.3"/>
    <row r="408" ht="14.25" customHeight="1" x14ac:dyDescent="0.3"/>
    <row r="409" ht="14.25" customHeight="1" x14ac:dyDescent="0.3"/>
    <row r="410" ht="14.25" customHeight="1" x14ac:dyDescent="0.3"/>
    <row r="411" ht="14.25" customHeight="1" x14ac:dyDescent="0.3"/>
    <row r="412" ht="14.25" customHeight="1" x14ac:dyDescent="0.3"/>
    <row r="413" ht="14.25" customHeight="1" x14ac:dyDescent="0.3"/>
    <row r="414" ht="14.25" customHeight="1" x14ac:dyDescent="0.3"/>
    <row r="415" ht="14.25" customHeight="1" x14ac:dyDescent="0.3"/>
    <row r="416" ht="14.25" customHeight="1" x14ac:dyDescent="0.3"/>
    <row r="417" ht="14.25" customHeight="1" x14ac:dyDescent="0.3"/>
    <row r="418" ht="14.25" customHeight="1" x14ac:dyDescent="0.3"/>
    <row r="419" ht="14.25" customHeight="1" x14ac:dyDescent="0.3"/>
    <row r="420" ht="14.25" customHeight="1" x14ac:dyDescent="0.3"/>
    <row r="421" ht="14.25" customHeight="1" x14ac:dyDescent="0.3"/>
    <row r="422" ht="14.25" customHeight="1" x14ac:dyDescent="0.3"/>
    <row r="423" ht="14.25" customHeight="1" x14ac:dyDescent="0.3"/>
    <row r="424" ht="14.25" customHeight="1" x14ac:dyDescent="0.3"/>
    <row r="425" ht="14.25" customHeight="1" x14ac:dyDescent="0.3"/>
    <row r="426" ht="14.25" customHeight="1" x14ac:dyDescent="0.3"/>
    <row r="427" ht="14.25" customHeight="1" x14ac:dyDescent="0.3"/>
    <row r="428" ht="14.25" customHeight="1" x14ac:dyDescent="0.3"/>
    <row r="429" ht="14.25" customHeight="1" x14ac:dyDescent="0.3"/>
    <row r="430" ht="14.25" customHeight="1" x14ac:dyDescent="0.3"/>
    <row r="431" ht="14.25" customHeight="1" x14ac:dyDescent="0.3"/>
    <row r="432" ht="14.25" customHeight="1" x14ac:dyDescent="0.3"/>
    <row r="433" ht="14.25" customHeight="1" x14ac:dyDescent="0.3"/>
    <row r="434" ht="14.25" customHeight="1" x14ac:dyDescent="0.3"/>
    <row r="435" ht="14.25" customHeight="1" x14ac:dyDescent="0.3"/>
    <row r="436" ht="14.25" customHeight="1" x14ac:dyDescent="0.3"/>
    <row r="437" ht="14.25" customHeight="1" x14ac:dyDescent="0.3"/>
    <row r="438" ht="14.25" customHeight="1" x14ac:dyDescent="0.3"/>
    <row r="439" ht="14.25" customHeight="1" x14ac:dyDescent="0.3"/>
    <row r="440" ht="14.25" customHeight="1" x14ac:dyDescent="0.3"/>
    <row r="441" ht="14.25" customHeight="1" x14ac:dyDescent="0.3"/>
    <row r="442" ht="14.25" customHeight="1" x14ac:dyDescent="0.3"/>
    <row r="443" ht="14.25" customHeight="1" x14ac:dyDescent="0.3"/>
    <row r="444" ht="14.25" customHeight="1" x14ac:dyDescent="0.3"/>
    <row r="445" ht="14.25" customHeight="1" x14ac:dyDescent="0.3"/>
    <row r="446" ht="14.25" customHeight="1" x14ac:dyDescent="0.3"/>
    <row r="447" ht="14.25" customHeight="1" x14ac:dyDescent="0.3"/>
    <row r="448" ht="14.25" customHeight="1" x14ac:dyDescent="0.3"/>
    <row r="449" ht="14.25" customHeight="1" x14ac:dyDescent="0.3"/>
    <row r="450" ht="14.25" customHeight="1" x14ac:dyDescent="0.3"/>
    <row r="451" ht="14.25" customHeight="1" x14ac:dyDescent="0.3"/>
    <row r="452" ht="14.25" customHeight="1" x14ac:dyDescent="0.3"/>
    <row r="453" ht="14.25" customHeight="1" x14ac:dyDescent="0.3"/>
    <row r="454" ht="14.25" customHeight="1" x14ac:dyDescent="0.3"/>
    <row r="455" ht="14.25" customHeight="1" x14ac:dyDescent="0.3"/>
    <row r="456" ht="14.25" customHeight="1" x14ac:dyDescent="0.3"/>
    <row r="457" ht="14.25" customHeight="1" x14ac:dyDescent="0.3"/>
    <row r="458" ht="14.25" customHeight="1" x14ac:dyDescent="0.3"/>
    <row r="459" ht="14.25" customHeight="1" x14ac:dyDescent="0.3"/>
    <row r="460" ht="14.25" customHeight="1" x14ac:dyDescent="0.3"/>
    <row r="461" ht="14.25" customHeight="1" x14ac:dyDescent="0.3"/>
    <row r="462" ht="14.25" customHeight="1" x14ac:dyDescent="0.3"/>
    <row r="463" ht="14.25" customHeight="1" x14ac:dyDescent="0.3"/>
    <row r="464" ht="14.25" customHeight="1" x14ac:dyDescent="0.3"/>
    <row r="465" ht="14.25" customHeight="1" x14ac:dyDescent="0.3"/>
    <row r="466" ht="14.25" customHeight="1" x14ac:dyDescent="0.3"/>
    <row r="467" ht="14.25" customHeight="1" x14ac:dyDescent="0.3"/>
    <row r="468" ht="14.25" customHeight="1" x14ac:dyDescent="0.3"/>
    <row r="469" ht="14.25" customHeight="1" x14ac:dyDescent="0.3"/>
    <row r="470" ht="14.25" customHeight="1" x14ac:dyDescent="0.3"/>
    <row r="471" ht="14.25" customHeight="1" x14ac:dyDescent="0.3"/>
    <row r="472" ht="14.25" customHeight="1" x14ac:dyDescent="0.3"/>
    <row r="473" ht="14.25" customHeight="1" x14ac:dyDescent="0.3"/>
    <row r="474" ht="14.25" customHeight="1" x14ac:dyDescent="0.3"/>
    <row r="475" ht="14.25" customHeight="1" x14ac:dyDescent="0.3"/>
    <row r="476" ht="14.25" customHeight="1" x14ac:dyDescent="0.3"/>
    <row r="477" ht="14.25" customHeight="1" x14ac:dyDescent="0.3"/>
    <row r="478" ht="14.25" customHeight="1" x14ac:dyDescent="0.3"/>
    <row r="479" ht="14.25" customHeight="1" x14ac:dyDescent="0.3"/>
    <row r="480" ht="14.25" customHeight="1" x14ac:dyDescent="0.3"/>
    <row r="481" ht="14.25" customHeight="1" x14ac:dyDescent="0.3"/>
    <row r="482" ht="14.25" customHeight="1" x14ac:dyDescent="0.3"/>
    <row r="483" ht="14.25" customHeight="1" x14ac:dyDescent="0.3"/>
    <row r="484" ht="14.25" customHeight="1" x14ac:dyDescent="0.3"/>
    <row r="485" ht="14.25" customHeight="1" x14ac:dyDescent="0.3"/>
    <row r="486" ht="14.25" customHeight="1" x14ac:dyDescent="0.3"/>
    <row r="487" ht="14.25" customHeight="1" x14ac:dyDescent="0.3"/>
    <row r="488" ht="14.25" customHeight="1" x14ac:dyDescent="0.3"/>
    <row r="489" ht="14.25" customHeight="1" x14ac:dyDescent="0.3"/>
    <row r="490" ht="14.25" customHeight="1" x14ac:dyDescent="0.3"/>
    <row r="491" ht="14.25" customHeight="1" x14ac:dyDescent="0.3"/>
    <row r="492" ht="14.25" customHeight="1" x14ac:dyDescent="0.3"/>
    <row r="493" ht="14.25" customHeight="1" x14ac:dyDescent="0.3"/>
    <row r="494" ht="14.25" customHeight="1" x14ac:dyDescent="0.3"/>
    <row r="495" ht="14.25" customHeight="1" x14ac:dyDescent="0.3"/>
    <row r="496" ht="14.25" customHeight="1" x14ac:dyDescent="0.3"/>
    <row r="497" ht="14.25" customHeight="1" x14ac:dyDescent="0.3"/>
    <row r="498" ht="14.25" customHeight="1" x14ac:dyDescent="0.3"/>
    <row r="499" ht="14.25" customHeight="1" x14ac:dyDescent="0.3"/>
    <row r="500" ht="14.25" customHeight="1" x14ac:dyDescent="0.3"/>
    <row r="501" ht="14.25" customHeight="1" x14ac:dyDescent="0.3"/>
    <row r="502" ht="14.25" customHeight="1" x14ac:dyDescent="0.3"/>
    <row r="503" ht="14.25" customHeight="1" x14ac:dyDescent="0.3"/>
    <row r="504" ht="14.25" customHeight="1" x14ac:dyDescent="0.3"/>
    <row r="505" ht="14.25" customHeight="1" x14ac:dyDescent="0.3"/>
    <row r="506" ht="14.25" customHeight="1" x14ac:dyDescent="0.3"/>
    <row r="507" ht="14.25" customHeight="1" x14ac:dyDescent="0.3"/>
    <row r="508" ht="14.25" customHeight="1" x14ac:dyDescent="0.3"/>
    <row r="509" ht="14.25" customHeight="1" x14ac:dyDescent="0.3"/>
    <row r="510" ht="14.25" customHeight="1" x14ac:dyDescent="0.3"/>
    <row r="511" ht="14.25" customHeight="1" x14ac:dyDescent="0.3"/>
    <row r="512" ht="14.25" customHeight="1" x14ac:dyDescent="0.3"/>
    <row r="513" ht="14.25" customHeight="1" x14ac:dyDescent="0.3"/>
    <row r="514" ht="14.25" customHeight="1" x14ac:dyDescent="0.3"/>
    <row r="515" ht="14.25" customHeight="1" x14ac:dyDescent="0.3"/>
    <row r="516" ht="14.25" customHeight="1" x14ac:dyDescent="0.3"/>
    <row r="517" ht="14.25" customHeight="1" x14ac:dyDescent="0.3"/>
    <row r="518" ht="14.25" customHeight="1" x14ac:dyDescent="0.3"/>
    <row r="519" ht="14.25" customHeight="1" x14ac:dyDescent="0.3"/>
    <row r="520" ht="14.25" customHeight="1" x14ac:dyDescent="0.3"/>
    <row r="521" ht="14.25" customHeight="1" x14ac:dyDescent="0.3"/>
    <row r="522" ht="14.25" customHeight="1" x14ac:dyDescent="0.3"/>
    <row r="523" ht="14.25" customHeight="1" x14ac:dyDescent="0.3"/>
    <row r="524" ht="14.25" customHeight="1" x14ac:dyDescent="0.3"/>
    <row r="525" ht="14.25" customHeight="1" x14ac:dyDescent="0.3"/>
    <row r="526" ht="14.25" customHeight="1" x14ac:dyDescent="0.3"/>
    <row r="527" ht="14.25" customHeight="1" x14ac:dyDescent="0.3"/>
    <row r="528" ht="14.25" customHeight="1" x14ac:dyDescent="0.3"/>
    <row r="529" ht="14.25" customHeight="1" x14ac:dyDescent="0.3"/>
    <row r="530" ht="14.25" customHeight="1" x14ac:dyDescent="0.3"/>
    <row r="531" ht="14.25" customHeight="1" x14ac:dyDescent="0.3"/>
    <row r="532" ht="14.25" customHeight="1" x14ac:dyDescent="0.3"/>
    <row r="533" ht="14.25" customHeight="1" x14ac:dyDescent="0.3"/>
    <row r="534" ht="14.25" customHeight="1" x14ac:dyDescent="0.3"/>
    <row r="535" ht="14.25" customHeight="1" x14ac:dyDescent="0.3"/>
    <row r="536" ht="14.25" customHeight="1" x14ac:dyDescent="0.3"/>
    <row r="537" ht="14.25" customHeight="1" x14ac:dyDescent="0.3"/>
    <row r="538" ht="14.25" customHeight="1" x14ac:dyDescent="0.3"/>
    <row r="539" ht="14.25" customHeight="1" x14ac:dyDescent="0.3"/>
    <row r="540" ht="14.25" customHeight="1" x14ac:dyDescent="0.3"/>
    <row r="541" ht="14.25" customHeight="1" x14ac:dyDescent="0.3"/>
    <row r="542" ht="14.25" customHeight="1" x14ac:dyDescent="0.3"/>
    <row r="543" ht="14.25" customHeight="1" x14ac:dyDescent="0.3"/>
    <row r="544" ht="14.25" customHeight="1" x14ac:dyDescent="0.3"/>
    <row r="545" ht="14.25" customHeight="1" x14ac:dyDescent="0.3"/>
    <row r="546" ht="14.25" customHeight="1" x14ac:dyDescent="0.3"/>
    <row r="547" ht="14.25" customHeight="1" x14ac:dyDescent="0.3"/>
    <row r="548" ht="14.25" customHeight="1" x14ac:dyDescent="0.3"/>
    <row r="549" ht="14.25" customHeight="1" x14ac:dyDescent="0.3"/>
    <row r="550" ht="14.25" customHeight="1" x14ac:dyDescent="0.3"/>
    <row r="551" ht="14.25" customHeight="1" x14ac:dyDescent="0.3"/>
    <row r="552" ht="14.25" customHeight="1" x14ac:dyDescent="0.3"/>
    <row r="553" ht="14.25" customHeight="1" x14ac:dyDescent="0.3"/>
    <row r="554" ht="14.25" customHeight="1" x14ac:dyDescent="0.3"/>
    <row r="555" ht="14.25" customHeight="1" x14ac:dyDescent="0.3"/>
    <row r="556" ht="14.25" customHeight="1" x14ac:dyDescent="0.3"/>
    <row r="557" ht="14.25" customHeight="1" x14ac:dyDescent="0.3"/>
    <row r="558" ht="14.25" customHeight="1" x14ac:dyDescent="0.3"/>
    <row r="559" ht="14.25" customHeight="1" x14ac:dyDescent="0.3"/>
    <row r="560" ht="14.25" customHeight="1" x14ac:dyDescent="0.3"/>
    <row r="561" ht="14.25" customHeight="1" x14ac:dyDescent="0.3"/>
    <row r="562" ht="14.25" customHeight="1" x14ac:dyDescent="0.3"/>
    <row r="563" ht="14.25" customHeight="1" x14ac:dyDescent="0.3"/>
    <row r="564" ht="14.25" customHeight="1" x14ac:dyDescent="0.3"/>
    <row r="565" ht="14.25" customHeight="1" x14ac:dyDescent="0.3"/>
    <row r="566" ht="14.25" customHeight="1" x14ac:dyDescent="0.3"/>
    <row r="567" ht="14.25" customHeight="1" x14ac:dyDescent="0.3"/>
    <row r="568" ht="14.25" customHeight="1" x14ac:dyDescent="0.3"/>
    <row r="569" ht="14.25" customHeight="1" x14ac:dyDescent="0.3"/>
    <row r="570" ht="14.25" customHeight="1" x14ac:dyDescent="0.3"/>
    <row r="571" ht="14.25" customHeight="1" x14ac:dyDescent="0.3"/>
    <row r="572" ht="14.25" customHeight="1" x14ac:dyDescent="0.3"/>
    <row r="573" ht="14.25" customHeight="1" x14ac:dyDescent="0.3"/>
    <row r="574" ht="14.25" customHeight="1" x14ac:dyDescent="0.3"/>
    <row r="575" ht="14.25" customHeight="1" x14ac:dyDescent="0.3"/>
    <row r="576" ht="14.25" customHeight="1" x14ac:dyDescent="0.3"/>
    <row r="577" ht="14.25" customHeight="1" x14ac:dyDescent="0.3"/>
    <row r="578" ht="14.25" customHeight="1" x14ac:dyDescent="0.3"/>
    <row r="579" ht="14.25" customHeight="1" x14ac:dyDescent="0.3"/>
    <row r="580" ht="14.25" customHeight="1" x14ac:dyDescent="0.3"/>
    <row r="581" ht="14.25" customHeight="1" x14ac:dyDescent="0.3"/>
    <row r="582" ht="14.25" customHeight="1" x14ac:dyDescent="0.3"/>
    <row r="583" ht="14.25" customHeight="1" x14ac:dyDescent="0.3"/>
    <row r="584" ht="14.25" customHeight="1" x14ac:dyDescent="0.3"/>
    <row r="585" ht="14.25" customHeight="1" x14ac:dyDescent="0.3"/>
    <row r="586" ht="14.25" customHeight="1" x14ac:dyDescent="0.3"/>
    <row r="587" ht="14.25" customHeight="1" x14ac:dyDescent="0.3"/>
    <row r="588" ht="14.25" customHeight="1" x14ac:dyDescent="0.3"/>
    <row r="589" ht="14.25" customHeight="1" x14ac:dyDescent="0.3"/>
    <row r="590" ht="14.25" customHeight="1" x14ac:dyDescent="0.3"/>
    <row r="591" ht="14.25" customHeight="1" x14ac:dyDescent="0.3"/>
    <row r="592" ht="14.25" customHeight="1" x14ac:dyDescent="0.3"/>
    <row r="593" ht="14.25" customHeight="1" x14ac:dyDescent="0.3"/>
    <row r="594" ht="14.25" customHeight="1" x14ac:dyDescent="0.3"/>
    <row r="595" ht="14.25" customHeight="1" x14ac:dyDescent="0.3"/>
    <row r="596" ht="14.25" customHeight="1" x14ac:dyDescent="0.3"/>
    <row r="597" ht="14.25" customHeight="1" x14ac:dyDescent="0.3"/>
    <row r="598" ht="14.25" customHeight="1" x14ac:dyDescent="0.3"/>
    <row r="599" ht="14.25" customHeight="1" x14ac:dyDescent="0.3"/>
    <row r="600" ht="14.25" customHeight="1" x14ac:dyDescent="0.3"/>
    <row r="601" ht="14.25" customHeight="1" x14ac:dyDescent="0.3"/>
    <row r="602" ht="14.25" customHeight="1" x14ac:dyDescent="0.3"/>
    <row r="603" ht="14.25" customHeight="1" x14ac:dyDescent="0.3"/>
    <row r="604" ht="14.25" customHeight="1" x14ac:dyDescent="0.3"/>
    <row r="605" ht="14.25" customHeight="1" x14ac:dyDescent="0.3"/>
    <row r="606" ht="14.25" customHeight="1" x14ac:dyDescent="0.3"/>
    <row r="607" ht="14.25" customHeight="1" x14ac:dyDescent="0.3"/>
    <row r="608" ht="14.25" customHeight="1" x14ac:dyDescent="0.3"/>
    <row r="609" ht="14.25" customHeight="1" x14ac:dyDescent="0.3"/>
    <row r="610" ht="14.25" customHeight="1" x14ac:dyDescent="0.3"/>
    <row r="611" ht="14.25" customHeight="1" x14ac:dyDescent="0.3"/>
    <row r="612" ht="14.25" customHeight="1" x14ac:dyDescent="0.3"/>
    <row r="613" ht="14.25" customHeight="1" x14ac:dyDescent="0.3"/>
    <row r="614" ht="14.25" customHeight="1" x14ac:dyDescent="0.3"/>
    <row r="615" ht="14.25" customHeight="1" x14ac:dyDescent="0.3"/>
    <row r="616" ht="14.25" customHeight="1" x14ac:dyDescent="0.3"/>
    <row r="617" ht="14.25" customHeight="1" x14ac:dyDescent="0.3"/>
    <row r="618" ht="14.25" customHeight="1" x14ac:dyDescent="0.3"/>
    <row r="619" ht="14.25" customHeight="1" x14ac:dyDescent="0.3"/>
    <row r="620" ht="14.25" customHeight="1" x14ac:dyDescent="0.3"/>
    <row r="621" ht="14.25" customHeight="1" x14ac:dyDescent="0.3"/>
    <row r="622" ht="14.25" customHeight="1" x14ac:dyDescent="0.3"/>
    <row r="623" ht="14.25" customHeight="1" x14ac:dyDescent="0.3"/>
    <row r="624" ht="14.25" customHeight="1" x14ac:dyDescent="0.3"/>
    <row r="625" ht="14.25" customHeight="1" x14ac:dyDescent="0.3"/>
    <row r="626" ht="14.25" customHeight="1" x14ac:dyDescent="0.3"/>
    <row r="627" ht="14.25" customHeight="1" x14ac:dyDescent="0.3"/>
    <row r="628" ht="14.25" customHeight="1" x14ac:dyDescent="0.3"/>
    <row r="629" ht="14.25" customHeight="1" x14ac:dyDescent="0.3"/>
    <row r="630" ht="14.25" customHeight="1" x14ac:dyDescent="0.3"/>
    <row r="631" ht="14.25" customHeight="1" x14ac:dyDescent="0.3"/>
    <row r="632" ht="14.25" customHeight="1" x14ac:dyDescent="0.3"/>
    <row r="633" ht="14.25" customHeight="1" x14ac:dyDescent="0.3"/>
    <row r="634" ht="14.25" customHeight="1" x14ac:dyDescent="0.3"/>
    <row r="635" ht="14.25" customHeight="1" x14ac:dyDescent="0.3"/>
    <row r="636" ht="14.25" customHeight="1" x14ac:dyDescent="0.3"/>
    <row r="637" ht="14.25" customHeight="1" x14ac:dyDescent="0.3"/>
    <row r="638" ht="14.25" customHeight="1" x14ac:dyDescent="0.3"/>
    <row r="639" ht="14.25" customHeight="1" x14ac:dyDescent="0.3"/>
    <row r="640" ht="14.25" customHeight="1" x14ac:dyDescent="0.3"/>
    <row r="641" ht="14.25" customHeight="1" x14ac:dyDescent="0.3"/>
    <row r="642" ht="14.25" customHeight="1" x14ac:dyDescent="0.3"/>
    <row r="643" ht="14.25" customHeight="1" x14ac:dyDescent="0.3"/>
    <row r="644" ht="14.25" customHeight="1" x14ac:dyDescent="0.3"/>
    <row r="645" ht="14.25" customHeight="1" x14ac:dyDescent="0.3"/>
    <row r="646" ht="14.25" customHeight="1" x14ac:dyDescent="0.3"/>
    <row r="647" ht="14.25" customHeight="1" x14ac:dyDescent="0.3"/>
    <row r="648" ht="14.25" customHeight="1" x14ac:dyDescent="0.3"/>
    <row r="649" ht="14.25" customHeight="1" x14ac:dyDescent="0.3"/>
    <row r="650" ht="14.25" customHeight="1" x14ac:dyDescent="0.3"/>
    <row r="651" ht="14.25" customHeight="1" x14ac:dyDescent="0.3"/>
    <row r="652" ht="14.25" customHeight="1" x14ac:dyDescent="0.3"/>
    <row r="653" ht="14.25" customHeight="1" x14ac:dyDescent="0.3"/>
    <row r="654" ht="14.25" customHeight="1" x14ac:dyDescent="0.3"/>
    <row r="655" ht="14.25" customHeight="1" x14ac:dyDescent="0.3"/>
    <row r="656" ht="14.25" customHeight="1" x14ac:dyDescent="0.3"/>
    <row r="657" ht="14.25" customHeight="1" x14ac:dyDescent="0.3"/>
    <row r="658" ht="14.25" customHeight="1" x14ac:dyDescent="0.3"/>
    <row r="659" ht="14.25" customHeight="1" x14ac:dyDescent="0.3"/>
    <row r="660" ht="14.25" customHeight="1" x14ac:dyDescent="0.3"/>
    <row r="661" ht="14.25" customHeight="1" x14ac:dyDescent="0.3"/>
    <row r="662" ht="14.25" customHeight="1" x14ac:dyDescent="0.3"/>
    <row r="663" ht="14.25" customHeight="1" x14ac:dyDescent="0.3"/>
    <row r="664" ht="14.25" customHeight="1" x14ac:dyDescent="0.3"/>
    <row r="665" ht="14.25" customHeight="1" x14ac:dyDescent="0.3"/>
    <row r="666" ht="14.25" customHeight="1" x14ac:dyDescent="0.3"/>
    <row r="667" ht="14.25" customHeight="1" x14ac:dyDescent="0.3"/>
    <row r="668" ht="14.25" customHeight="1" x14ac:dyDescent="0.3"/>
    <row r="669" ht="14.25" customHeight="1" x14ac:dyDescent="0.3"/>
    <row r="670" ht="14.25" customHeight="1" x14ac:dyDescent="0.3"/>
    <row r="671" ht="14.25" customHeight="1" x14ac:dyDescent="0.3"/>
    <row r="672" ht="14.25" customHeight="1" x14ac:dyDescent="0.3"/>
    <row r="673" ht="14.25" customHeight="1" x14ac:dyDescent="0.3"/>
    <row r="674" ht="14.25" customHeight="1" x14ac:dyDescent="0.3"/>
    <row r="675" ht="14.25" customHeight="1" x14ac:dyDescent="0.3"/>
    <row r="676" ht="14.25" customHeight="1" x14ac:dyDescent="0.3"/>
    <row r="677" ht="14.25" customHeight="1" x14ac:dyDescent="0.3"/>
    <row r="678" ht="14.25" customHeight="1" x14ac:dyDescent="0.3"/>
    <row r="679" ht="14.25" customHeight="1" x14ac:dyDescent="0.3"/>
    <row r="680" ht="14.25" customHeight="1" x14ac:dyDescent="0.3"/>
    <row r="681" ht="14.25" customHeight="1" x14ac:dyDescent="0.3"/>
    <row r="682" ht="14.25" customHeight="1" x14ac:dyDescent="0.3"/>
    <row r="683" ht="14.25" customHeight="1" x14ac:dyDescent="0.3"/>
    <row r="684" ht="14.25" customHeight="1" x14ac:dyDescent="0.3"/>
    <row r="685" ht="14.25" customHeight="1" x14ac:dyDescent="0.3"/>
    <row r="686" ht="14.25" customHeight="1" x14ac:dyDescent="0.3"/>
    <row r="687" ht="14.25" customHeight="1" x14ac:dyDescent="0.3"/>
    <row r="688" ht="14.25" customHeight="1" x14ac:dyDescent="0.3"/>
    <row r="689" ht="14.25" customHeight="1" x14ac:dyDescent="0.3"/>
    <row r="690" ht="14.25" customHeight="1" x14ac:dyDescent="0.3"/>
    <row r="691" ht="14.25" customHeight="1" x14ac:dyDescent="0.3"/>
    <row r="692" ht="14.25" customHeight="1" x14ac:dyDescent="0.3"/>
    <row r="693" ht="14.25" customHeight="1" x14ac:dyDescent="0.3"/>
    <row r="694" ht="14.25" customHeight="1" x14ac:dyDescent="0.3"/>
    <row r="695" ht="14.25" customHeight="1" x14ac:dyDescent="0.3"/>
    <row r="696" ht="14.25" customHeight="1" x14ac:dyDescent="0.3"/>
    <row r="697" ht="14.25" customHeight="1" x14ac:dyDescent="0.3"/>
    <row r="698" ht="14.25" customHeight="1" x14ac:dyDescent="0.3"/>
    <row r="699" ht="14.25" customHeight="1" x14ac:dyDescent="0.3"/>
    <row r="700" ht="14.25" customHeight="1" x14ac:dyDescent="0.3"/>
    <row r="701" ht="14.25" customHeight="1" x14ac:dyDescent="0.3"/>
    <row r="702" ht="14.25" customHeight="1" x14ac:dyDescent="0.3"/>
    <row r="703" ht="14.25" customHeight="1" x14ac:dyDescent="0.3"/>
    <row r="704" ht="14.25" customHeight="1" x14ac:dyDescent="0.3"/>
    <row r="705" ht="14.25" customHeight="1" x14ac:dyDescent="0.3"/>
    <row r="706" ht="14.25" customHeight="1" x14ac:dyDescent="0.3"/>
    <row r="707" ht="14.25" customHeight="1" x14ac:dyDescent="0.3"/>
    <row r="708" ht="14.25" customHeight="1" x14ac:dyDescent="0.3"/>
    <row r="709" ht="14.25" customHeight="1" x14ac:dyDescent="0.3"/>
    <row r="710" ht="14.25" customHeight="1" x14ac:dyDescent="0.3"/>
    <row r="711" ht="14.25" customHeight="1" x14ac:dyDescent="0.3"/>
    <row r="712" ht="14.25" customHeight="1" x14ac:dyDescent="0.3"/>
    <row r="713" ht="14.25" customHeight="1" x14ac:dyDescent="0.3"/>
    <row r="714" ht="14.25" customHeight="1" x14ac:dyDescent="0.3"/>
    <row r="715" ht="14.25" customHeight="1" x14ac:dyDescent="0.3"/>
    <row r="716" ht="14.25" customHeight="1" x14ac:dyDescent="0.3"/>
    <row r="717" ht="14.25" customHeight="1" x14ac:dyDescent="0.3"/>
    <row r="718" ht="14.25" customHeight="1" x14ac:dyDescent="0.3"/>
    <row r="719" ht="14.25" customHeight="1" x14ac:dyDescent="0.3"/>
    <row r="720" ht="14.25" customHeight="1" x14ac:dyDescent="0.3"/>
    <row r="721" ht="14.25" customHeight="1" x14ac:dyDescent="0.3"/>
    <row r="722" ht="14.25" customHeight="1" x14ac:dyDescent="0.3"/>
    <row r="723" ht="14.25" customHeight="1" x14ac:dyDescent="0.3"/>
    <row r="724" ht="14.25" customHeight="1" x14ac:dyDescent="0.3"/>
    <row r="725" ht="14.25" customHeight="1" x14ac:dyDescent="0.3"/>
    <row r="726" ht="14.25" customHeight="1" x14ac:dyDescent="0.3"/>
    <row r="727" ht="14.25" customHeight="1" x14ac:dyDescent="0.3"/>
    <row r="728" ht="14.25" customHeight="1" x14ac:dyDescent="0.3"/>
    <row r="729" ht="14.25" customHeight="1" x14ac:dyDescent="0.3"/>
    <row r="730" ht="14.25" customHeight="1" x14ac:dyDescent="0.3"/>
    <row r="731" ht="14.25" customHeight="1" x14ac:dyDescent="0.3"/>
    <row r="732" ht="14.25" customHeight="1" x14ac:dyDescent="0.3"/>
    <row r="733" ht="14.25" customHeight="1" x14ac:dyDescent="0.3"/>
    <row r="734" ht="14.25" customHeight="1" x14ac:dyDescent="0.3"/>
    <row r="735" ht="14.25" customHeight="1" x14ac:dyDescent="0.3"/>
    <row r="736" ht="14.25" customHeight="1" x14ac:dyDescent="0.3"/>
    <row r="737" ht="14.25" customHeight="1" x14ac:dyDescent="0.3"/>
    <row r="738" ht="14.25" customHeight="1" x14ac:dyDescent="0.3"/>
    <row r="739" ht="14.25" customHeight="1" x14ac:dyDescent="0.3"/>
    <row r="740" ht="14.25" customHeight="1" x14ac:dyDescent="0.3"/>
    <row r="741" ht="14.25" customHeight="1" x14ac:dyDescent="0.3"/>
    <row r="742" ht="14.25" customHeight="1" x14ac:dyDescent="0.3"/>
    <row r="743" ht="14.25" customHeight="1" x14ac:dyDescent="0.3"/>
    <row r="744" ht="14.25" customHeight="1" x14ac:dyDescent="0.3"/>
    <row r="745" ht="14.25" customHeight="1" x14ac:dyDescent="0.3"/>
    <row r="746" ht="14.25" customHeight="1" x14ac:dyDescent="0.3"/>
    <row r="747" ht="14.25" customHeight="1" x14ac:dyDescent="0.3"/>
    <row r="748" ht="14.25" customHeight="1" x14ac:dyDescent="0.3"/>
    <row r="749" ht="14.25" customHeight="1" x14ac:dyDescent="0.3"/>
    <row r="750" ht="14.25" customHeight="1" x14ac:dyDescent="0.3"/>
    <row r="751" ht="14.25" customHeight="1" x14ac:dyDescent="0.3"/>
    <row r="752" ht="14.25" customHeight="1" x14ac:dyDescent="0.3"/>
    <row r="753" ht="14.25" customHeight="1" x14ac:dyDescent="0.3"/>
    <row r="754" ht="14.25" customHeight="1" x14ac:dyDescent="0.3"/>
    <row r="755" ht="14.25" customHeight="1" x14ac:dyDescent="0.3"/>
    <row r="756" ht="14.25" customHeight="1" x14ac:dyDescent="0.3"/>
    <row r="757" ht="14.25" customHeight="1" x14ac:dyDescent="0.3"/>
    <row r="758" ht="14.25" customHeight="1" x14ac:dyDescent="0.3"/>
    <row r="759" ht="14.25" customHeight="1" x14ac:dyDescent="0.3"/>
    <row r="760" ht="14.25" customHeight="1" x14ac:dyDescent="0.3"/>
    <row r="761" ht="14.25" customHeight="1" x14ac:dyDescent="0.3"/>
    <row r="762" ht="14.25" customHeight="1" x14ac:dyDescent="0.3"/>
    <row r="763" ht="14.25" customHeight="1" x14ac:dyDescent="0.3"/>
    <row r="764" ht="14.25" customHeight="1" x14ac:dyDescent="0.3"/>
    <row r="765" ht="14.25" customHeight="1" x14ac:dyDescent="0.3"/>
    <row r="766" ht="14.25" customHeight="1" x14ac:dyDescent="0.3"/>
    <row r="767" ht="14.25" customHeight="1" x14ac:dyDescent="0.3"/>
    <row r="768" ht="14.25" customHeight="1" x14ac:dyDescent="0.3"/>
    <row r="769" ht="14.25" customHeight="1" x14ac:dyDescent="0.3"/>
    <row r="770" ht="14.25" customHeight="1" x14ac:dyDescent="0.3"/>
    <row r="771" ht="14.25" customHeight="1" x14ac:dyDescent="0.3"/>
    <row r="772" ht="14.25" customHeight="1" x14ac:dyDescent="0.3"/>
    <row r="773" ht="14.25" customHeight="1" x14ac:dyDescent="0.3"/>
    <row r="774" ht="14.25" customHeight="1" x14ac:dyDescent="0.3"/>
    <row r="775" ht="14.25" customHeight="1" x14ac:dyDescent="0.3"/>
    <row r="776" ht="14.25" customHeight="1" x14ac:dyDescent="0.3"/>
    <row r="777" ht="14.25" customHeight="1" x14ac:dyDescent="0.3"/>
    <row r="778" ht="14.25" customHeight="1" x14ac:dyDescent="0.3"/>
    <row r="779" ht="14.25" customHeight="1" x14ac:dyDescent="0.3"/>
    <row r="780" ht="14.25" customHeight="1" x14ac:dyDescent="0.3"/>
    <row r="781" ht="14.25" customHeight="1" x14ac:dyDescent="0.3"/>
    <row r="782" ht="14.25" customHeight="1" x14ac:dyDescent="0.3"/>
    <row r="783" ht="14.25" customHeight="1" x14ac:dyDescent="0.3"/>
    <row r="784" ht="14.25" customHeight="1" x14ac:dyDescent="0.3"/>
    <row r="785" ht="14.25" customHeight="1" x14ac:dyDescent="0.3"/>
    <row r="786" ht="14.25" customHeight="1" x14ac:dyDescent="0.3"/>
    <row r="787" ht="14.25" customHeight="1" x14ac:dyDescent="0.3"/>
    <row r="788" ht="14.25" customHeight="1" x14ac:dyDescent="0.3"/>
    <row r="789" ht="14.25" customHeight="1" x14ac:dyDescent="0.3"/>
    <row r="790" ht="14.25" customHeight="1" x14ac:dyDescent="0.3"/>
    <row r="791" ht="14.25" customHeight="1" x14ac:dyDescent="0.3"/>
    <row r="792" ht="14.25" customHeight="1" x14ac:dyDescent="0.3"/>
    <row r="793" ht="14.25" customHeight="1" x14ac:dyDescent="0.3"/>
    <row r="794" ht="14.25" customHeight="1" x14ac:dyDescent="0.3"/>
    <row r="795" ht="14.25" customHeight="1" x14ac:dyDescent="0.3"/>
    <row r="796" ht="14.25" customHeight="1" x14ac:dyDescent="0.3"/>
    <row r="797" ht="14.25" customHeight="1" x14ac:dyDescent="0.3"/>
    <row r="798" ht="14.25" customHeight="1" x14ac:dyDescent="0.3"/>
    <row r="799" ht="14.25" customHeight="1" x14ac:dyDescent="0.3"/>
    <row r="800" ht="14.25" customHeight="1" x14ac:dyDescent="0.3"/>
    <row r="801" ht="14.25" customHeight="1" x14ac:dyDescent="0.3"/>
    <row r="802" ht="14.25" customHeight="1" x14ac:dyDescent="0.3"/>
    <row r="803" ht="14.25" customHeight="1" x14ac:dyDescent="0.3"/>
    <row r="804" ht="14.25" customHeight="1" x14ac:dyDescent="0.3"/>
    <row r="805" ht="14.25" customHeight="1" x14ac:dyDescent="0.3"/>
    <row r="806" ht="14.25" customHeight="1" x14ac:dyDescent="0.3"/>
    <row r="807" ht="14.25" customHeight="1" x14ac:dyDescent="0.3"/>
    <row r="808" ht="14.25" customHeight="1" x14ac:dyDescent="0.3"/>
    <row r="809" ht="14.25" customHeight="1" x14ac:dyDescent="0.3"/>
    <row r="810" ht="14.25" customHeight="1" x14ac:dyDescent="0.3"/>
    <row r="811" ht="14.25" customHeight="1" x14ac:dyDescent="0.3"/>
    <row r="812" ht="14.25" customHeight="1" x14ac:dyDescent="0.3"/>
    <row r="813" ht="14.25" customHeight="1" x14ac:dyDescent="0.3"/>
    <row r="814" ht="14.25" customHeight="1" x14ac:dyDescent="0.3"/>
    <row r="815" ht="14.25" customHeight="1" x14ac:dyDescent="0.3"/>
    <row r="816" ht="14.25" customHeight="1" x14ac:dyDescent="0.3"/>
    <row r="817" ht="14.25" customHeight="1" x14ac:dyDescent="0.3"/>
    <row r="818" ht="14.25" customHeight="1" x14ac:dyDescent="0.3"/>
    <row r="819" ht="14.25" customHeight="1" x14ac:dyDescent="0.3"/>
    <row r="820" ht="14.25" customHeight="1" x14ac:dyDescent="0.3"/>
    <row r="821" ht="14.25" customHeight="1" x14ac:dyDescent="0.3"/>
    <row r="822" ht="14.25" customHeight="1" x14ac:dyDescent="0.3"/>
    <row r="823" ht="14.25" customHeight="1" x14ac:dyDescent="0.3"/>
    <row r="824" ht="14.25" customHeight="1" x14ac:dyDescent="0.3"/>
    <row r="825" ht="14.25" customHeight="1" x14ac:dyDescent="0.3"/>
    <row r="826" ht="14.25" customHeight="1" x14ac:dyDescent="0.3"/>
    <row r="827" ht="14.25" customHeight="1" x14ac:dyDescent="0.3"/>
    <row r="828" ht="14.25" customHeight="1" x14ac:dyDescent="0.3"/>
    <row r="829" ht="14.25" customHeight="1" x14ac:dyDescent="0.3"/>
    <row r="830" ht="14.25" customHeight="1" x14ac:dyDescent="0.3"/>
    <row r="831" ht="14.25" customHeight="1" x14ac:dyDescent="0.3"/>
    <row r="832" ht="14.25" customHeight="1" x14ac:dyDescent="0.3"/>
    <row r="833" ht="14.25" customHeight="1" x14ac:dyDescent="0.3"/>
    <row r="834" ht="14.25" customHeight="1" x14ac:dyDescent="0.3"/>
    <row r="835" ht="14.25" customHeight="1" x14ac:dyDescent="0.3"/>
    <row r="836" ht="14.25" customHeight="1" x14ac:dyDescent="0.3"/>
    <row r="837" ht="14.25" customHeight="1" x14ac:dyDescent="0.3"/>
    <row r="838" ht="14.25" customHeight="1" x14ac:dyDescent="0.3"/>
    <row r="839" ht="14.25" customHeight="1" x14ac:dyDescent="0.3"/>
    <row r="840" ht="14.25" customHeight="1" x14ac:dyDescent="0.3"/>
    <row r="841" ht="14.25" customHeight="1" x14ac:dyDescent="0.3"/>
    <row r="842" ht="14.25" customHeight="1" x14ac:dyDescent="0.3"/>
    <row r="843" ht="14.25" customHeight="1" x14ac:dyDescent="0.3"/>
    <row r="844" ht="14.25" customHeight="1" x14ac:dyDescent="0.3"/>
    <row r="845" ht="14.25" customHeight="1" x14ac:dyDescent="0.3"/>
    <row r="846" ht="14.25" customHeight="1" x14ac:dyDescent="0.3"/>
    <row r="847" ht="14.25" customHeight="1" x14ac:dyDescent="0.3"/>
    <row r="848" ht="14.25" customHeight="1" x14ac:dyDescent="0.3"/>
    <row r="849" ht="14.25" customHeight="1" x14ac:dyDescent="0.3"/>
    <row r="850" ht="14.25" customHeight="1" x14ac:dyDescent="0.3"/>
    <row r="851" ht="14.25" customHeight="1" x14ac:dyDescent="0.3"/>
    <row r="852" ht="14.25" customHeight="1" x14ac:dyDescent="0.3"/>
    <row r="853" ht="14.25" customHeight="1" x14ac:dyDescent="0.3"/>
    <row r="854" ht="14.25" customHeight="1" x14ac:dyDescent="0.3"/>
    <row r="855" ht="14.25" customHeight="1" x14ac:dyDescent="0.3"/>
    <row r="856" ht="14.25" customHeight="1" x14ac:dyDescent="0.3"/>
    <row r="857" ht="14.25" customHeight="1" x14ac:dyDescent="0.3"/>
    <row r="858" ht="14.25" customHeight="1" x14ac:dyDescent="0.3"/>
    <row r="859" ht="14.25" customHeight="1" x14ac:dyDescent="0.3"/>
    <row r="860" ht="14.25" customHeight="1" x14ac:dyDescent="0.3"/>
    <row r="861" ht="14.25" customHeight="1" x14ac:dyDescent="0.3"/>
    <row r="862" ht="14.25" customHeight="1" x14ac:dyDescent="0.3"/>
    <row r="863" ht="14.25" customHeight="1" x14ac:dyDescent="0.3"/>
    <row r="864" ht="14.25" customHeight="1" x14ac:dyDescent="0.3"/>
    <row r="865" ht="14.25" customHeight="1" x14ac:dyDescent="0.3"/>
    <row r="866" ht="14.25" customHeight="1" x14ac:dyDescent="0.3"/>
    <row r="867" ht="14.25" customHeight="1" x14ac:dyDescent="0.3"/>
    <row r="868" ht="14.25" customHeight="1" x14ac:dyDescent="0.3"/>
    <row r="869" ht="14.25" customHeight="1" x14ac:dyDescent="0.3"/>
    <row r="870" ht="14.25" customHeight="1" x14ac:dyDescent="0.3"/>
    <row r="871" ht="14.25" customHeight="1" x14ac:dyDescent="0.3"/>
    <row r="872" ht="14.25" customHeight="1" x14ac:dyDescent="0.3"/>
    <row r="873" ht="14.25" customHeight="1" x14ac:dyDescent="0.3"/>
    <row r="874" ht="14.25" customHeight="1" x14ac:dyDescent="0.3"/>
    <row r="875" ht="14.25" customHeight="1" x14ac:dyDescent="0.3"/>
    <row r="876" ht="14.25" customHeight="1" x14ac:dyDescent="0.3"/>
    <row r="877" ht="14.25" customHeight="1" x14ac:dyDescent="0.3"/>
    <row r="878" ht="14.25" customHeight="1" x14ac:dyDescent="0.3"/>
    <row r="879" ht="14.25" customHeight="1" x14ac:dyDescent="0.3"/>
    <row r="880" ht="14.25" customHeight="1" x14ac:dyDescent="0.3"/>
    <row r="881" ht="14.25" customHeight="1" x14ac:dyDescent="0.3"/>
    <row r="882" ht="14.25" customHeight="1" x14ac:dyDescent="0.3"/>
    <row r="883" ht="14.25" customHeight="1" x14ac:dyDescent="0.3"/>
    <row r="884" ht="14.25" customHeight="1" x14ac:dyDescent="0.3"/>
    <row r="885" ht="14.25" customHeight="1" x14ac:dyDescent="0.3"/>
    <row r="886" ht="14.25" customHeight="1" x14ac:dyDescent="0.3"/>
    <row r="887" ht="14.25" customHeight="1" x14ac:dyDescent="0.3"/>
    <row r="888" ht="14.25" customHeight="1" x14ac:dyDescent="0.3"/>
    <row r="889" ht="14.25" customHeight="1" x14ac:dyDescent="0.3"/>
    <row r="890" ht="14.25" customHeight="1" x14ac:dyDescent="0.3"/>
    <row r="891" ht="14.25" customHeight="1" x14ac:dyDescent="0.3"/>
    <row r="892" ht="14.25" customHeight="1" x14ac:dyDescent="0.3"/>
    <row r="893" ht="14.25" customHeight="1" x14ac:dyDescent="0.3"/>
    <row r="894" ht="14.25" customHeight="1" x14ac:dyDescent="0.3"/>
    <row r="895" ht="14.25" customHeight="1" x14ac:dyDescent="0.3"/>
    <row r="896" ht="14.25" customHeight="1" x14ac:dyDescent="0.3"/>
    <row r="897" ht="14.25" customHeight="1" x14ac:dyDescent="0.3"/>
    <row r="898" ht="14.25" customHeight="1" x14ac:dyDescent="0.3"/>
    <row r="899" ht="14.25" customHeight="1" x14ac:dyDescent="0.3"/>
    <row r="900" ht="14.25" customHeight="1" x14ac:dyDescent="0.3"/>
    <row r="901" ht="14.25" customHeight="1" x14ac:dyDescent="0.3"/>
    <row r="902" ht="14.25" customHeight="1" x14ac:dyDescent="0.3"/>
    <row r="903" ht="14.25" customHeight="1" x14ac:dyDescent="0.3"/>
    <row r="904" ht="14.25" customHeight="1" x14ac:dyDescent="0.3"/>
    <row r="905" ht="14.25" customHeight="1" x14ac:dyDescent="0.3"/>
    <row r="906" ht="14.25" customHeight="1" x14ac:dyDescent="0.3"/>
    <row r="907" ht="14.25" customHeight="1" x14ac:dyDescent="0.3"/>
    <row r="908" ht="14.25" customHeight="1" x14ac:dyDescent="0.3"/>
    <row r="909" ht="14.25" customHeight="1" x14ac:dyDescent="0.3"/>
    <row r="910" ht="14.25" customHeight="1" x14ac:dyDescent="0.3"/>
    <row r="911" ht="14.25" customHeight="1" x14ac:dyDescent="0.3"/>
    <row r="912" ht="14.25" customHeight="1" x14ac:dyDescent="0.3"/>
    <row r="913" ht="14.25" customHeight="1" x14ac:dyDescent="0.3"/>
    <row r="914" ht="14.25" customHeight="1" x14ac:dyDescent="0.3"/>
    <row r="915" ht="14.25" customHeight="1" x14ac:dyDescent="0.3"/>
    <row r="916" ht="14.25" customHeight="1" x14ac:dyDescent="0.3"/>
    <row r="917" ht="14.25" customHeight="1" x14ac:dyDescent="0.3"/>
    <row r="918" ht="14.25" customHeight="1" x14ac:dyDescent="0.3"/>
    <row r="919" ht="14.25" customHeight="1" x14ac:dyDescent="0.3"/>
    <row r="920" ht="14.25" customHeight="1" x14ac:dyDescent="0.3"/>
    <row r="921" ht="14.25" customHeight="1" x14ac:dyDescent="0.3"/>
    <row r="922" ht="14.25" customHeight="1" x14ac:dyDescent="0.3"/>
    <row r="923" ht="14.25" customHeight="1" x14ac:dyDescent="0.3"/>
    <row r="924" ht="14.25" customHeight="1" x14ac:dyDescent="0.3"/>
    <row r="925" ht="14.25" customHeight="1" x14ac:dyDescent="0.3"/>
    <row r="926" ht="14.25" customHeight="1" x14ac:dyDescent="0.3"/>
    <row r="927" ht="14.25" customHeight="1" x14ac:dyDescent="0.3"/>
    <row r="928" ht="14.25" customHeight="1" x14ac:dyDescent="0.3"/>
    <row r="929" ht="14.25" customHeight="1" x14ac:dyDescent="0.3"/>
    <row r="930" ht="14.25" customHeight="1" x14ac:dyDescent="0.3"/>
    <row r="931" ht="14.25" customHeight="1" x14ac:dyDescent="0.3"/>
    <row r="932" ht="14.25" customHeight="1" x14ac:dyDescent="0.3"/>
    <row r="933" ht="14.25" customHeight="1" x14ac:dyDescent="0.3"/>
    <row r="934" ht="14.25" customHeight="1" x14ac:dyDescent="0.3"/>
    <row r="935" ht="14.25" customHeight="1" x14ac:dyDescent="0.3"/>
    <row r="936" ht="14.25" customHeight="1" x14ac:dyDescent="0.3"/>
    <row r="937" ht="14.25" customHeight="1" x14ac:dyDescent="0.3"/>
    <row r="938" ht="14.25" customHeight="1" x14ac:dyDescent="0.3"/>
    <row r="939" ht="14.25" customHeight="1" x14ac:dyDescent="0.3"/>
    <row r="940" ht="14.25" customHeight="1" x14ac:dyDescent="0.3"/>
    <row r="941" ht="14.25" customHeight="1" x14ac:dyDescent="0.3"/>
    <row r="942" ht="14.25" customHeight="1" x14ac:dyDescent="0.3"/>
    <row r="943" ht="14.25" customHeight="1" x14ac:dyDescent="0.3"/>
    <row r="944" ht="14.25" customHeight="1" x14ac:dyDescent="0.3"/>
    <row r="945" ht="14.25" customHeight="1" x14ac:dyDescent="0.3"/>
    <row r="946" ht="14.25" customHeight="1" x14ac:dyDescent="0.3"/>
    <row r="947" ht="14.25" customHeight="1" x14ac:dyDescent="0.3"/>
    <row r="948" ht="14.25" customHeight="1" x14ac:dyDescent="0.3"/>
    <row r="949" ht="14.25" customHeight="1" x14ac:dyDescent="0.3"/>
    <row r="950" ht="14.25" customHeight="1" x14ac:dyDescent="0.3"/>
    <row r="951" ht="14.25" customHeight="1" x14ac:dyDescent="0.3"/>
    <row r="952" ht="14.25" customHeight="1" x14ac:dyDescent="0.3"/>
    <row r="953" ht="14.25" customHeight="1" x14ac:dyDescent="0.3"/>
    <row r="954" ht="14.25" customHeight="1" x14ac:dyDescent="0.3"/>
    <row r="955" ht="14.25" customHeight="1" x14ac:dyDescent="0.3"/>
    <row r="956" ht="14.25" customHeight="1" x14ac:dyDescent="0.3"/>
    <row r="957" ht="14.25" customHeight="1" x14ac:dyDescent="0.3"/>
    <row r="958" ht="14.25" customHeight="1" x14ac:dyDescent="0.3"/>
    <row r="959" ht="14.25" customHeight="1" x14ac:dyDescent="0.3"/>
    <row r="960" ht="14.25" customHeight="1" x14ac:dyDescent="0.3"/>
    <row r="961" ht="14.25" customHeight="1" x14ac:dyDescent="0.3"/>
    <row r="962" ht="14.25" customHeight="1" x14ac:dyDescent="0.3"/>
    <row r="963" ht="14.25" customHeight="1" x14ac:dyDescent="0.3"/>
    <row r="964" ht="14.25" customHeight="1" x14ac:dyDescent="0.3"/>
    <row r="965" ht="14.25" customHeight="1" x14ac:dyDescent="0.3"/>
    <row r="966" ht="14.25" customHeight="1" x14ac:dyDescent="0.3"/>
    <row r="967" ht="14.25" customHeight="1" x14ac:dyDescent="0.3"/>
    <row r="968" ht="14.25" customHeight="1" x14ac:dyDescent="0.3"/>
    <row r="969" ht="14.25" customHeight="1" x14ac:dyDescent="0.3"/>
    <row r="970" ht="14.25" customHeight="1" x14ac:dyDescent="0.3"/>
    <row r="971" ht="14.25" customHeight="1" x14ac:dyDescent="0.3"/>
    <row r="972" ht="14.25" customHeight="1" x14ac:dyDescent="0.3"/>
    <row r="973" ht="14.25" customHeight="1" x14ac:dyDescent="0.3"/>
    <row r="974" ht="14.25" customHeight="1" x14ac:dyDescent="0.3"/>
    <row r="975" ht="14.25" customHeight="1" x14ac:dyDescent="0.3"/>
    <row r="976" ht="14.25" customHeight="1" x14ac:dyDescent="0.3"/>
    <row r="977" ht="14.25" customHeight="1" x14ac:dyDescent="0.3"/>
    <row r="978" ht="14.25" customHeight="1" x14ac:dyDescent="0.3"/>
    <row r="979" ht="14.25" customHeight="1" x14ac:dyDescent="0.3"/>
    <row r="980" ht="14.25" customHeight="1" x14ac:dyDescent="0.3"/>
    <row r="981" ht="14.25" customHeight="1" x14ac:dyDescent="0.3"/>
    <row r="982" ht="14.25" customHeight="1" x14ac:dyDescent="0.3"/>
    <row r="983" ht="14.25" customHeight="1" x14ac:dyDescent="0.3"/>
    <row r="984" ht="14.25" customHeight="1" x14ac:dyDescent="0.3"/>
    <row r="985" ht="14.25" customHeight="1" x14ac:dyDescent="0.3"/>
    <row r="986" ht="14.25" customHeight="1" x14ac:dyDescent="0.3"/>
    <row r="987" ht="14.25" customHeight="1" x14ac:dyDescent="0.3"/>
    <row r="988" ht="14.25" customHeight="1" x14ac:dyDescent="0.3"/>
    <row r="989" ht="14.25" customHeight="1" x14ac:dyDescent="0.3"/>
    <row r="990" ht="14.25" customHeight="1" x14ac:dyDescent="0.3"/>
    <row r="991" ht="14.25" customHeight="1" x14ac:dyDescent="0.3"/>
    <row r="992" ht="14.25" customHeight="1" x14ac:dyDescent="0.3"/>
    <row r="993" ht="14.25" customHeight="1" x14ac:dyDescent="0.3"/>
    <row r="994" ht="14.25" customHeight="1" x14ac:dyDescent="0.3"/>
    <row r="995" ht="14.25" customHeight="1" x14ac:dyDescent="0.3"/>
    <row r="996" ht="14.25" customHeight="1" x14ac:dyDescent="0.3"/>
    <row r="997" ht="14.25" customHeight="1" x14ac:dyDescent="0.3"/>
    <row r="998" ht="14.25" customHeight="1" x14ac:dyDescent="0.3"/>
    <row r="999" ht="14.25" customHeight="1" x14ac:dyDescent="0.3"/>
    <row r="1000" ht="14.25" customHeight="1" x14ac:dyDescent="0.3"/>
    <row r="1001" ht="14.25" customHeight="1" x14ac:dyDescent="0.3"/>
    <row r="1002" ht="14.25" customHeight="1" x14ac:dyDescent="0.3"/>
  </sheetData>
  <pageMargins left="0.7" right="0.7" top="0.75" bottom="0.75" header="0" footer="0"/>
  <pageSetup orientation="landscape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C1:D1000"/>
  <sheetViews>
    <sheetView topLeftCell="A2" zoomScale="90" workbookViewId="0">
      <selection activeCell="D12" sqref="D12"/>
    </sheetView>
  </sheetViews>
  <sheetFormatPr defaultColWidth="14.44140625" defaultRowHeight="15" customHeight="1" x14ac:dyDescent="0.3"/>
  <cols>
    <col min="1" max="2" width="8.6640625" customWidth="1"/>
    <col min="3" max="3" width="9.33203125" customWidth="1"/>
    <col min="4" max="4" width="18.44140625" customWidth="1"/>
    <col min="5" max="26" width="8.6640625" customWidth="1"/>
  </cols>
  <sheetData>
    <row r="1" spans="3:4" ht="14.25" customHeight="1" x14ac:dyDescent="0.3"/>
    <row r="2" spans="3:4" ht="14.25" customHeight="1" x14ac:dyDescent="0.3"/>
    <row r="3" spans="3:4" ht="14.25" customHeight="1" x14ac:dyDescent="0.3">
      <c r="C3" s="13" t="s">
        <v>0</v>
      </c>
      <c r="D3" s="13" t="s">
        <v>4</v>
      </c>
    </row>
    <row r="4" spans="3:4" ht="14.25" customHeight="1" x14ac:dyDescent="0.3">
      <c r="C4" s="13" t="s">
        <v>6</v>
      </c>
      <c r="D4" s="13">
        <v>180</v>
      </c>
    </row>
    <row r="5" spans="3:4" ht="14.25" customHeight="1" x14ac:dyDescent="0.3">
      <c r="C5" s="13" t="s">
        <v>8</v>
      </c>
      <c r="D5" s="13">
        <v>30</v>
      </c>
    </row>
    <row r="6" spans="3:4" ht="14.25" customHeight="1" x14ac:dyDescent="0.3">
      <c r="C6" s="13" t="s">
        <v>10</v>
      </c>
      <c r="D6" s="13">
        <v>0</v>
      </c>
    </row>
    <row r="7" spans="3:4" ht="14.25" customHeight="1" x14ac:dyDescent="0.3">
      <c r="C7" s="13" t="s">
        <v>11</v>
      </c>
      <c r="D7" s="13">
        <v>150</v>
      </c>
    </row>
    <row r="8" spans="3:4" ht="14.25" customHeight="1" x14ac:dyDescent="0.3">
      <c r="C8" s="13" t="s">
        <v>15</v>
      </c>
      <c r="D8" s="13">
        <v>0</v>
      </c>
    </row>
    <row r="9" spans="3:4" ht="14.25" customHeight="1" x14ac:dyDescent="0.3">
      <c r="C9" s="13" t="s">
        <v>16</v>
      </c>
      <c r="D9" s="13">
        <f>(Sheet1!Q8)</f>
        <v>0</v>
      </c>
    </row>
    <row r="10" spans="3:4" ht="14.25" customHeight="1" x14ac:dyDescent="0.3">
      <c r="C10" s="13" t="s">
        <v>17</v>
      </c>
      <c r="D10" s="13">
        <f>(Sheet1!Q9)</f>
        <v>0</v>
      </c>
    </row>
    <row r="11" spans="3:4" ht="14.25" customHeight="1" x14ac:dyDescent="0.3">
      <c r="C11" s="13" t="s">
        <v>19</v>
      </c>
      <c r="D11" s="13">
        <v>0</v>
      </c>
    </row>
    <row r="12" spans="3:4" ht="14.25" customHeight="1" x14ac:dyDescent="0.3">
      <c r="C12" s="41" t="s">
        <v>45</v>
      </c>
      <c r="D12">
        <v>0</v>
      </c>
    </row>
    <row r="13" spans="3:4" ht="14.25" customHeight="1" x14ac:dyDescent="0.3"/>
    <row r="14" spans="3:4" ht="14.25" customHeight="1" x14ac:dyDescent="0.3"/>
    <row r="15" spans="3:4" ht="14.25" customHeight="1" x14ac:dyDescent="0.3">
      <c r="D15" s="13">
        <f>SUM(D4:D11)</f>
        <v>360</v>
      </c>
    </row>
    <row r="16" spans="3:4" ht="14.25" customHeight="1" x14ac:dyDescent="0.3"/>
    <row r="17" ht="14.25" customHeight="1" x14ac:dyDescent="0.3"/>
    <row r="18" ht="14.25" customHeight="1" x14ac:dyDescent="0.3"/>
    <row r="19" ht="14.25" customHeight="1" x14ac:dyDescent="0.3"/>
    <row r="20" ht="14.25" customHeight="1" x14ac:dyDescent="0.3"/>
    <row r="21" ht="14.25" customHeight="1" x14ac:dyDescent="0.3"/>
    <row r="22" ht="14.25" customHeight="1" x14ac:dyDescent="0.3"/>
    <row r="23" ht="14.25" customHeight="1" x14ac:dyDescent="0.3"/>
    <row r="24" ht="14.25" customHeight="1" x14ac:dyDescent="0.3"/>
    <row r="25" ht="14.25" customHeight="1" x14ac:dyDescent="0.3"/>
    <row r="26" ht="14.25" customHeight="1" x14ac:dyDescent="0.3"/>
    <row r="27" ht="14.25" customHeight="1" x14ac:dyDescent="0.3"/>
    <row r="28" ht="14.25" customHeight="1" x14ac:dyDescent="0.3"/>
    <row r="29" ht="14.25" customHeight="1" x14ac:dyDescent="0.3"/>
    <row r="30" ht="14.25" customHeight="1" x14ac:dyDescent="0.3"/>
    <row r="31" ht="14.25" customHeight="1" x14ac:dyDescent="0.3"/>
    <row r="32" ht="14.25" customHeight="1" x14ac:dyDescent="0.3"/>
    <row r="33" ht="14.25" customHeight="1" x14ac:dyDescent="0.3"/>
    <row r="34" ht="14.25" customHeight="1" x14ac:dyDescent="0.3"/>
    <row r="35" ht="14.25" customHeight="1" x14ac:dyDescent="0.3"/>
    <row r="36" ht="14.25" customHeight="1" x14ac:dyDescent="0.3"/>
    <row r="37" ht="14.25" customHeight="1" x14ac:dyDescent="0.3"/>
    <row r="38" ht="14.25" customHeight="1" x14ac:dyDescent="0.3"/>
    <row r="39" ht="14.25" customHeight="1" x14ac:dyDescent="0.3"/>
    <row r="40" ht="14.25" customHeight="1" x14ac:dyDescent="0.3"/>
    <row r="41" ht="14.25" customHeight="1" x14ac:dyDescent="0.3"/>
    <row r="42" ht="14.25" customHeight="1" x14ac:dyDescent="0.3"/>
    <row r="43" ht="14.25" customHeight="1" x14ac:dyDescent="0.3"/>
    <row r="44" ht="14.25" customHeight="1" x14ac:dyDescent="0.3"/>
    <row r="45" ht="14.25" customHeight="1" x14ac:dyDescent="0.3"/>
    <row r="46" ht="14.25" customHeight="1" x14ac:dyDescent="0.3"/>
    <row r="47" ht="14.25" customHeight="1" x14ac:dyDescent="0.3"/>
    <row r="48" ht="14.25" customHeight="1" x14ac:dyDescent="0.3"/>
    <row r="49" ht="14.25" customHeight="1" x14ac:dyDescent="0.3"/>
    <row r="50" ht="14.25" customHeight="1" x14ac:dyDescent="0.3"/>
    <row r="51" ht="14.25" customHeight="1" x14ac:dyDescent="0.3"/>
    <row r="52" ht="14.25" customHeight="1" x14ac:dyDescent="0.3"/>
    <row r="53" ht="14.25" customHeight="1" x14ac:dyDescent="0.3"/>
    <row r="54" ht="14.25" customHeight="1" x14ac:dyDescent="0.3"/>
    <row r="55" ht="14.25" customHeight="1" x14ac:dyDescent="0.3"/>
    <row r="56" ht="14.25" customHeight="1" x14ac:dyDescent="0.3"/>
    <row r="57" ht="14.25" customHeight="1" x14ac:dyDescent="0.3"/>
    <row r="58" ht="14.25" customHeight="1" x14ac:dyDescent="0.3"/>
    <row r="59" ht="14.25" customHeight="1" x14ac:dyDescent="0.3"/>
    <row r="60" ht="14.25" customHeight="1" x14ac:dyDescent="0.3"/>
    <row r="61" ht="14.25" customHeight="1" x14ac:dyDescent="0.3"/>
    <row r="62" ht="14.25" customHeight="1" x14ac:dyDescent="0.3"/>
    <row r="63" ht="14.25" customHeight="1" x14ac:dyDescent="0.3"/>
    <row r="64" ht="14.25" customHeight="1" x14ac:dyDescent="0.3"/>
    <row r="65" ht="14.25" customHeight="1" x14ac:dyDescent="0.3"/>
    <row r="66" ht="14.25" customHeight="1" x14ac:dyDescent="0.3"/>
    <row r="67" ht="14.25" customHeight="1" x14ac:dyDescent="0.3"/>
    <row r="68" ht="14.25" customHeight="1" x14ac:dyDescent="0.3"/>
    <row r="69" ht="14.25" customHeight="1" x14ac:dyDescent="0.3"/>
    <row r="70" ht="14.25" customHeight="1" x14ac:dyDescent="0.3"/>
    <row r="71" ht="14.25" customHeight="1" x14ac:dyDescent="0.3"/>
    <row r="72" ht="14.25" customHeight="1" x14ac:dyDescent="0.3"/>
    <row r="73" ht="14.25" customHeight="1" x14ac:dyDescent="0.3"/>
    <row r="74" ht="14.25" customHeight="1" x14ac:dyDescent="0.3"/>
    <row r="75" ht="14.25" customHeight="1" x14ac:dyDescent="0.3"/>
    <row r="76" ht="14.25" customHeight="1" x14ac:dyDescent="0.3"/>
    <row r="77" ht="14.25" customHeight="1" x14ac:dyDescent="0.3"/>
    <row r="78" ht="14.25" customHeight="1" x14ac:dyDescent="0.3"/>
    <row r="79" ht="14.25" customHeight="1" x14ac:dyDescent="0.3"/>
    <row r="80" ht="14.25" customHeight="1" x14ac:dyDescent="0.3"/>
    <row r="81" ht="14.25" customHeight="1" x14ac:dyDescent="0.3"/>
    <row r="82" ht="14.25" customHeight="1" x14ac:dyDescent="0.3"/>
    <row r="83" ht="14.25" customHeight="1" x14ac:dyDescent="0.3"/>
    <row r="84" ht="14.25" customHeight="1" x14ac:dyDescent="0.3"/>
    <row r="85" ht="14.25" customHeight="1" x14ac:dyDescent="0.3"/>
    <row r="86" ht="14.25" customHeight="1" x14ac:dyDescent="0.3"/>
    <row r="87" ht="14.25" customHeight="1" x14ac:dyDescent="0.3"/>
    <row r="88" ht="14.25" customHeight="1" x14ac:dyDescent="0.3"/>
    <row r="89" ht="14.25" customHeight="1" x14ac:dyDescent="0.3"/>
    <row r="90" ht="14.25" customHeight="1" x14ac:dyDescent="0.3"/>
    <row r="91" ht="14.25" customHeight="1" x14ac:dyDescent="0.3"/>
    <row r="92" ht="14.25" customHeight="1" x14ac:dyDescent="0.3"/>
    <row r="93" ht="14.25" customHeight="1" x14ac:dyDescent="0.3"/>
    <row r="94" ht="14.25" customHeight="1" x14ac:dyDescent="0.3"/>
    <row r="95" ht="14.25" customHeight="1" x14ac:dyDescent="0.3"/>
    <row r="96" ht="14.25" customHeight="1" x14ac:dyDescent="0.3"/>
    <row r="97" ht="14.25" customHeight="1" x14ac:dyDescent="0.3"/>
    <row r="98" ht="14.25" customHeight="1" x14ac:dyDescent="0.3"/>
    <row r="99" ht="14.25" customHeight="1" x14ac:dyDescent="0.3"/>
    <row r="100" ht="14.25" customHeight="1" x14ac:dyDescent="0.3"/>
    <row r="101" ht="14.25" customHeight="1" x14ac:dyDescent="0.3"/>
    <row r="102" ht="14.25" customHeight="1" x14ac:dyDescent="0.3"/>
    <row r="103" ht="14.25" customHeight="1" x14ac:dyDescent="0.3"/>
    <row r="104" ht="14.25" customHeight="1" x14ac:dyDescent="0.3"/>
    <row r="105" ht="14.25" customHeight="1" x14ac:dyDescent="0.3"/>
    <row r="106" ht="14.25" customHeight="1" x14ac:dyDescent="0.3"/>
    <row r="107" ht="14.25" customHeight="1" x14ac:dyDescent="0.3"/>
    <row r="108" ht="14.25" customHeight="1" x14ac:dyDescent="0.3"/>
    <row r="109" ht="14.25" customHeight="1" x14ac:dyDescent="0.3"/>
    <row r="110" ht="14.25" customHeight="1" x14ac:dyDescent="0.3"/>
    <row r="111" ht="14.25" customHeight="1" x14ac:dyDescent="0.3"/>
    <row r="112" ht="14.25" customHeight="1" x14ac:dyDescent="0.3"/>
    <row r="113" ht="14.25" customHeight="1" x14ac:dyDescent="0.3"/>
    <row r="114" ht="14.25" customHeight="1" x14ac:dyDescent="0.3"/>
    <row r="115" ht="14.25" customHeight="1" x14ac:dyDescent="0.3"/>
    <row r="116" ht="14.25" customHeight="1" x14ac:dyDescent="0.3"/>
    <row r="117" ht="14.25" customHeight="1" x14ac:dyDescent="0.3"/>
    <row r="118" ht="14.25" customHeight="1" x14ac:dyDescent="0.3"/>
    <row r="119" ht="14.25" customHeight="1" x14ac:dyDescent="0.3"/>
    <row r="120" ht="14.25" customHeight="1" x14ac:dyDescent="0.3"/>
    <row r="121" ht="14.25" customHeight="1" x14ac:dyDescent="0.3"/>
    <row r="122" ht="14.25" customHeight="1" x14ac:dyDescent="0.3"/>
    <row r="123" ht="14.25" customHeight="1" x14ac:dyDescent="0.3"/>
    <row r="124" ht="14.25" customHeight="1" x14ac:dyDescent="0.3"/>
    <row r="125" ht="14.25" customHeight="1" x14ac:dyDescent="0.3"/>
    <row r="126" ht="14.25" customHeight="1" x14ac:dyDescent="0.3"/>
    <row r="127" ht="14.25" customHeight="1" x14ac:dyDescent="0.3"/>
    <row r="128" ht="14.25" customHeight="1" x14ac:dyDescent="0.3"/>
    <row r="129" ht="14.25" customHeight="1" x14ac:dyDescent="0.3"/>
    <row r="130" ht="14.25" customHeight="1" x14ac:dyDescent="0.3"/>
    <row r="131" ht="14.25" customHeight="1" x14ac:dyDescent="0.3"/>
    <row r="132" ht="14.25" customHeight="1" x14ac:dyDescent="0.3"/>
    <row r="133" ht="14.25" customHeight="1" x14ac:dyDescent="0.3"/>
    <row r="134" ht="14.25" customHeight="1" x14ac:dyDescent="0.3"/>
    <row r="135" ht="14.25" customHeight="1" x14ac:dyDescent="0.3"/>
    <row r="136" ht="14.25" customHeight="1" x14ac:dyDescent="0.3"/>
    <row r="137" ht="14.25" customHeight="1" x14ac:dyDescent="0.3"/>
    <row r="138" ht="14.25" customHeight="1" x14ac:dyDescent="0.3"/>
    <row r="139" ht="14.25" customHeight="1" x14ac:dyDescent="0.3"/>
    <row r="140" ht="14.25" customHeight="1" x14ac:dyDescent="0.3"/>
    <row r="141" ht="14.25" customHeight="1" x14ac:dyDescent="0.3"/>
    <row r="142" ht="14.25" customHeight="1" x14ac:dyDescent="0.3"/>
    <row r="143" ht="14.25" customHeight="1" x14ac:dyDescent="0.3"/>
    <row r="144" ht="14.25" customHeight="1" x14ac:dyDescent="0.3"/>
    <row r="145" ht="14.25" customHeight="1" x14ac:dyDescent="0.3"/>
    <row r="146" ht="14.25" customHeight="1" x14ac:dyDescent="0.3"/>
    <row r="147" ht="14.25" customHeight="1" x14ac:dyDescent="0.3"/>
    <row r="148" ht="14.25" customHeight="1" x14ac:dyDescent="0.3"/>
    <row r="149" ht="14.25" customHeight="1" x14ac:dyDescent="0.3"/>
    <row r="150" ht="14.25" customHeight="1" x14ac:dyDescent="0.3"/>
    <row r="151" ht="14.25" customHeight="1" x14ac:dyDescent="0.3"/>
    <row r="152" ht="14.25" customHeight="1" x14ac:dyDescent="0.3"/>
    <row r="153" ht="14.25" customHeight="1" x14ac:dyDescent="0.3"/>
    <row r="154" ht="14.25" customHeight="1" x14ac:dyDescent="0.3"/>
    <row r="155" ht="14.25" customHeight="1" x14ac:dyDescent="0.3"/>
    <row r="156" ht="14.25" customHeight="1" x14ac:dyDescent="0.3"/>
    <row r="157" ht="14.25" customHeight="1" x14ac:dyDescent="0.3"/>
    <row r="158" ht="14.25" customHeight="1" x14ac:dyDescent="0.3"/>
    <row r="159" ht="14.25" customHeight="1" x14ac:dyDescent="0.3"/>
    <row r="160" ht="14.25" customHeight="1" x14ac:dyDescent="0.3"/>
    <row r="161" ht="14.25" customHeight="1" x14ac:dyDescent="0.3"/>
    <row r="162" ht="14.25" customHeight="1" x14ac:dyDescent="0.3"/>
    <row r="163" ht="14.25" customHeight="1" x14ac:dyDescent="0.3"/>
    <row r="164" ht="14.25" customHeight="1" x14ac:dyDescent="0.3"/>
    <row r="165" ht="14.25" customHeight="1" x14ac:dyDescent="0.3"/>
    <row r="166" ht="14.25" customHeight="1" x14ac:dyDescent="0.3"/>
    <row r="167" ht="14.25" customHeight="1" x14ac:dyDescent="0.3"/>
    <row r="168" ht="14.25" customHeight="1" x14ac:dyDescent="0.3"/>
    <row r="169" ht="14.25" customHeight="1" x14ac:dyDescent="0.3"/>
    <row r="170" ht="14.25" customHeight="1" x14ac:dyDescent="0.3"/>
    <row r="171" ht="14.25" customHeight="1" x14ac:dyDescent="0.3"/>
    <row r="172" ht="14.25" customHeight="1" x14ac:dyDescent="0.3"/>
    <row r="173" ht="14.25" customHeight="1" x14ac:dyDescent="0.3"/>
    <row r="174" ht="14.25" customHeight="1" x14ac:dyDescent="0.3"/>
    <row r="175" ht="14.25" customHeight="1" x14ac:dyDescent="0.3"/>
    <row r="176" ht="14.25" customHeight="1" x14ac:dyDescent="0.3"/>
    <row r="177" ht="14.25" customHeight="1" x14ac:dyDescent="0.3"/>
    <row r="178" ht="14.25" customHeight="1" x14ac:dyDescent="0.3"/>
    <row r="179" ht="14.25" customHeight="1" x14ac:dyDescent="0.3"/>
    <row r="180" ht="14.25" customHeight="1" x14ac:dyDescent="0.3"/>
    <row r="181" ht="14.25" customHeight="1" x14ac:dyDescent="0.3"/>
    <row r="182" ht="14.25" customHeight="1" x14ac:dyDescent="0.3"/>
    <row r="183" ht="14.25" customHeight="1" x14ac:dyDescent="0.3"/>
    <row r="184" ht="14.25" customHeight="1" x14ac:dyDescent="0.3"/>
    <row r="185" ht="14.25" customHeight="1" x14ac:dyDescent="0.3"/>
    <row r="186" ht="14.25" customHeight="1" x14ac:dyDescent="0.3"/>
    <row r="187" ht="14.25" customHeight="1" x14ac:dyDescent="0.3"/>
    <row r="188" ht="14.25" customHeight="1" x14ac:dyDescent="0.3"/>
    <row r="189" ht="14.25" customHeight="1" x14ac:dyDescent="0.3"/>
    <row r="190" ht="14.25" customHeight="1" x14ac:dyDescent="0.3"/>
    <row r="191" ht="14.25" customHeight="1" x14ac:dyDescent="0.3"/>
    <row r="192" ht="14.25" customHeight="1" x14ac:dyDescent="0.3"/>
    <row r="193" ht="14.25" customHeight="1" x14ac:dyDescent="0.3"/>
    <row r="194" ht="14.25" customHeight="1" x14ac:dyDescent="0.3"/>
    <row r="195" ht="14.25" customHeight="1" x14ac:dyDescent="0.3"/>
    <row r="196" ht="14.25" customHeight="1" x14ac:dyDescent="0.3"/>
    <row r="197" ht="14.25" customHeight="1" x14ac:dyDescent="0.3"/>
    <row r="198" ht="14.25" customHeight="1" x14ac:dyDescent="0.3"/>
    <row r="199" ht="14.25" customHeight="1" x14ac:dyDescent="0.3"/>
    <row r="200" ht="14.25" customHeight="1" x14ac:dyDescent="0.3"/>
    <row r="201" ht="14.25" customHeight="1" x14ac:dyDescent="0.3"/>
    <row r="202" ht="14.25" customHeight="1" x14ac:dyDescent="0.3"/>
    <row r="203" ht="14.25" customHeight="1" x14ac:dyDescent="0.3"/>
    <row r="204" ht="14.25" customHeight="1" x14ac:dyDescent="0.3"/>
    <row r="205" ht="14.25" customHeight="1" x14ac:dyDescent="0.3"/>
    <row r="206" ht="14.25" customHeight="1" x14ac:dyDescent="0.3"/>
    <row r="207" ht="14.25" customHeight="1" x14ac:dyDescent="0.3"/>
    <row r="208" ht="14.25" customHeight="1" x14ac:dyDescent="0.3"/>
    <row r="209" ht="14.25" customHeight="1" x14ac:dyDescent="0.3"/>
    <row r="210" ht="14.25" customHeight="1" x14ac:dyDescent="0.3"/>
    <row r="211" ht="14.25" customHeight="1" x14ac:dyDescent="0.3"/>
    <row r="212" ht="14.25" customHeight="1" x14ac:dyDescent="0.3"/>
    <row r="213" ht="14.25" customHeight="1" x14ac:dyDescent="0.3"/>
    <row r="214" ht="14.25" customHeight="1" x14ac:dyDescent="0.3"/>
    <row r="215" ht="14.25" customHeight="1" x14ac:dyDescent="0.3"/>
    <row r="216" ht="14.25" customHeight="1" x14ac:dyDescent="0.3"/>
    <row r="217" ht="14.25" customHeight="1" x14ac:dyDescent="0.3"/>
    <row r="218" ht="14.25" customHeight="1" x14ac:dyDescent="0.3"/>
    <row r="219" ht="14.25" customHeight="1" x14ac:dyDescent="0.3"/>
    <row r="220" ht="14.25" customHeight="1" x14ac:dyDescent="0.3"/>
    <row r="221" ht="14.25" customHeight="1" x14ac:dyDescent="0.3"/>
    <row r="222" ht="14.25" customHeight="1" x14ac:dyDescent="0.3"/>
    <row r="223" ht="14.25" customHeight="1" x14ac:dyDescent="0.3"/>
    <row r="224" ht="14.25" customHeight="1" x14ac:dyDescent="0.3"/>
    <row r="225" ht="14.25" customHeight="1" x14ac:dyDescent="0.3"/>
    <row r="226" ht="14.25" customHeight="1" x14ac:dyDescent="0.3"/>
    <row r="227" ht="14.25" customHeight="1" x14ac:dyDescent="0.3"/>
    <row r="228" ht="14.25" customHeight="1" x14ac:dyDescent="0.3"/>
    <row r="229" ht="14.25" customHeight="1" x14ac:dyDescent="0.3"/>
    <row r="230" ht="14.25" customHeight="1" x14ac:dyDescent="0.3"/>
    <row r="231" ht="14.25" customHeight="1" x14ac:dyDescent="0.3"/>
    <row r="232" ht="14.25" customHeight="1" x14ac:dyDescent="0.3"/>
    <row r="233" ht="14.25" customHeight="1" x14ac:dyDescent="0.3"/>
    <row r="234" ht="14.25" customHeight="1" x14ac:dyDescent="0.3"/>
    <row r="235" ht="14.25" customHeight="1" x14ac:dyDescent="0.3"/>
    <row r="236" ht="14.25" customHeight="1" x14ac:dyDescent="0.3"/>
    <row r="237" ht="14.25" customHeight="1" x14ac:dyDescent="0.3"/>
    <row r="238" ht="14.25" customHeight="1" x14ac:dyDescent="0.3"/>
    <row r="239" ht="14.25" customHeight="1" x14ac:dyDescent="0.3"/>
    <row r="240" ht="14.25" customHeight="1" x14ac:dyDescent="0.3"/>
    <row r="241" ht="14.25" customHeight="1" x14ac:dyDescent="0.3"/>
    <row r="242" ht="14.25" customHeight="1" x14ac:dyDescent="0.3"/>
    <row r="243" ht="14.25" customHeight="1" x14ac:dyDescent="0.3"/>
    <row r="244" ht="14.25" customHeight="1" x14ac:dyDescent="0.3"/>
    <row r="245" ht="14.25" customHeight="1" x14ac:dyDescent="0.3"/>
    <row r="246" ht="14.25" customHeight="1" x14ac:dyDescent="0.3"/>
    <row r="247" ht="14.25" customHeight="1" x14ac:dyDescent="0.3"/>
    <row r="248" ht="14.25" customHeight="1" x14ac:dyDescent="0.3"/>
    <row r="249" ht="14.25" customHeight="1" x14ac:dyDescent="0.3"/>
    <row r="250" ht="14.25" customHeight="1" x14ac:dyDescent="0.3"/>
    <row r="251" ht="14.25" customHeight="1" x14ac:dyDescent="0.3"/>
    <row r="252" ht="14.25" customHeight="1" x14ac:dyDescent="0.3"/>
    <row r="253" ht="14.25" customHeight="1" x14ac:dyDescent="0.3"/>
    <row r="254" ht="14.25" customHeight="1" x14ac:dyDescent="0.3"/>
    <row r="255" ht="14.25" customHeight="1" x14ac:dyDescent="0.3"/>
    <row r="256" ht="14.25" customHeight="1" x14ac:dyDescent="0.3"/>
    <row r="257" ht="14.25" customHeight="1" x14ac:dyDescent="0.3"/>
    <row r="258" ht="14.25" customHeight="1" x14ac:dyDescent="0.3"/>
    <row r="259" ht="14.25" customHeight="1" x14ac:dyDescent="0.3"/>
    <row r="260" ht="14.25" customHeight="1" x14ac:dyDescent="0.3"/>
    <row r="261" ht="14.25" customHeight="1" x14ac:dyDescent="0.3"/>
    <row r="262" ht="14.25" customHeight="1" x14ac:dyDescent="0.3"/>
    <row r="263" ht="14.25" customHeight="1" x14ac:dyDescent="0.3"/>
    <row r="264" ht="14.25" customHeight="1" x14ac:dyDescent="0.3"/>
    <row r="265" ht="14.25" customHeight="1" x14ac:dyDescent="0.3"/>
    <row r="266" ht="14.25" customHeight="1" x14ac:dyDescent="0.3"/>
    <row r="267" ht="14.25" customHeight="1" x14ac:dyDescent="0.3"/>
    <row r="268" ht="14.25" customHeight="1" x14ac:dyDescent="0.3"/>
    <row r="269" ht="14.25" customHeight="1" x14ac:dyDescent="0.3"/>
    <row r="270" ht="14.25" customHeight="1" x14ac:dyDescent="0.3"/>
    <row r="271" ht="14.25" customHeight="1" x14ac:dyDescent="0.3"/>
    <row r="272" ht="14.25" customHeight="1" x14ac:dyDescent="0.3"/>
    <row r="273" ht="14.25" customHeight="1" x14ac:dyDescent="0.3"/>
    <row r="274" ht="14.25" customHeight="1" x14ac:dyDescent="0.3"/>
    <row r="275" ht="14.25" customHeight="1" x14ac:dyDescent="0.3"/>
    <row r="276" ht="14.25" customHeight="1" x14ac:dyDescent="0.3"/>
    <row r="277" ht="14.25" customHeight="1" x14ac:dyDescent="0.3"/>
    <row r="278" ht="14.25" customHeight="1" x14ac:dyDescent="0.3"/>
    <row r="279" ht="14.25" customHeight="1" x14ac:dyDescent="0.3"/>
    <row r="280" ht="14.25" customHeight="1" x14ac:dyDescent="0.3"/>
    <row r="281" ht="14.25" customHeight="1" x14ac:dyDescent="0.3"/>
    <row r="282" ht="14.25" customHeight="1" x14ac:dyDescent="0.3"/>
    <row r="283" ht="14.25" customHeight="1" x14ac:dyDescent="0.3"/>
    <row r="284" ht="14.25" customHeight="1" x14ac:dyDescent="0.3"/>
    <row r="285" ht="14.25" customHeight="1" x14ac:dyDescent="0.3"/>
    <row r="286" ht="14.25" customHeight="1" x14ac:dyDescent="0.3"/>
    <row r="287" ht="14.25" customHeight="1" x14ac:dyDescent="0.3"/>
    <row r="288" ht="14.25" customHeight="1" x14ac:dyDescent="0.3"/>
    <row r="289" ht="14.25" customHeight="1" x14ac:dyDescent="0.3"/>
    <row r="290" ht="14.25" customHeight="1" x14ac:dyDescent="0.3"/>
    <row r="291" ht="14.25" customHeight="1" x14ac:dyDescent="0.3"/>
    <row r="292" ht="14.25" customHeight="1" x14ac:dyDescent="0.3"/>
    <row r="293" ht="14.25" customHeight="1" x14ac:dyDescent="0.3"/>
    <row r="294" ht="14.25" customHeight="1" x14ac:dyDescent="0.3"/>
    <row r="295" ht="14.25" customHeight="1" x14ac:dyDescent="0.3"/>
    <row r="296" ht="14.25" customHeight="1" x14ac:dyDescent="0.3"/>
    <row r="297" ht="14.25" customHeight="1" x14ac:dyDescent="0.3"/>
    <row r="298" ht="14.25" customHeight="1" x14ac:dyDescent="0.3"/>
    <row r="299" ht="14.25" customHeight="1" x14ac:dyDescent="0.3"/>
    <row r="300" ht="14.25" customHeight="1" x14ac:dyDescent="0.3"/>
    <row r="301" ht="14.25" customHeight="1" x14ac:dyDescent="0.3"/>
    <row r="302" ht="14.25" customHeight="1" x14ac:dyDescent="0.3"/>
    <row r="303" ht="14.25" customHeight="1" x14ac:dyDescent="0.3"/>
    <row r="304" ht="14.25" customHeight="1" x14ac:dyDescent="0.3"/>
    <row r="305" ht="14.25" customHeight="1" x14ac:dyDescent="0.3"/>
    <row r="306" ht="14.25" customHeight="1" x14ac:dyDescent="0.3"/>
    <row r="307" ht="14.25" customHeight="1" x14ac:dyDescent="0.3"/>
    <row r="308" ht="14.25" customHeight="1" x14ac:dyDescent="0.3"/>
    <row r="309" ht="14.25" customHeight="1" x14ac:dyDescent="0.3"/>
    <row r="310" ht="14.25" customHeight="1" x14ac:dyDescent="0.3"/>
    <row r="311" ht="14.25" customHeight="1" x14ac:dyDescent="0.3"/>
    <row r="312" ht="14.25" customHeight="1" x14ac:dyDescent="0.3"/>
    <row r="313" ht="14.25" customHeight="1" x14ac:dyDescent="0.3"/>
    <row r="314" ht="14.25" customHeight="1" x14ac:dyDescent="0.3"/>
    <row r="315" ht="14.25" customHeight="1" x14ac:dyDescent="0.3"/>
    <row r="316" ht="14.25" customHeight="1" x14ac:dyDescent="0.3"/>
    <row r="317" ht="14.25" customHeight="1" x14ac:dyDescent="0.3"/>
    <row r="318" ht="14.25" customHeight="1" x14ac:dyDescent="0.3"/>
    <row r="319" ht="14.25" customHeight="1" x14ac:dyDescent="0.3"/>
    <row r="320" ht="14.25" customHeight="1" x14ac:dyDescent="0.3"/>
    <row r="321" ht="14.25" customHeight="1" x14ac:dyDescent="0.3"/>
    <row r="322" ht="14.25" customHeight="1" x14ac:dyDescent="0.3"/>
    <row r="323" ht="14.25" customHeight="1" x14ac:dyDescent="0.3"/>
    <row r="324" ht="14.25" customHeight="1" x14ac:dyDescent="0.3"/>
    <row r="325" ht="14.25" customHeight="1" x14ac:dyDescent="0.3"/>
    <row r="326" ht="14.25" customHeight="1" x14ac:dyDescent="0.3"/>
    <row r="327" ht="14.25" customHeight="1" x14ac:dyDescent="0.3"/>
    <row r="328" ht="14.25" customHeight="1" x14ac:dyDescent="0.3"/>
    <row r="329" ht="14.25" customHeight="1" x14ac:dyDescent="0.3"/>
    <row r="330" ht="14.25" customHeight="1" x14ac:dyDescent="0.3"/>
    <row r="331" ht="14.25" customHeight="1" x14ac:dyDescent="0.3"/>
    <row r="332" ht="14.25" customHeight="1" x14ac:dyDescent="0.3"/>
    <row r="333" ht="14.25" customHeight="1" x14ac:dyDescent="0.3"/>
    <row r="334" ht="14.25" customHeight="1" x14ac:dyDescent="0.3"/>
    <row r="335" ht="14.25" customHeight="1" x14ac:dyDescent="0.3"/>
    <row r="336" ht="14.25" customHeight="1" x14ac:dyDescent="0.3"/>
    <row r="337" ht="14.25" customHeight="1" x14ac:dyDescent="0.3"/>
    <row r="338" ht="14.25" customHeight="1" x14ac:dyDescent="0.3"/>
    <row r="339" ht="14.25" customHeight="1" x14ac:dyDescent="0.3"/>
    <row r="340" ht="14.25" customHeight="1" x14ac:dyDescent="0.3"/>
    <row r="341" ht="14.25" customHeight="1" x14ac:dyDescent="0.3"/>
    <row r="342" ht="14.25" customHeight="1" x14ac:dyDescent="0.3"/>
    <row r="343" ht="14.25" customHeight="1" x14ac:dyDescent="0.3"/>
    <row r="344" ht="14.25" customHeight="1" x14ac:dyDescent="0.3"/>
    <row r="345" ht="14.25" customHeight="1" x14ac:dyDescent="0.3"/>
    <row r="346" ht="14.25" customHeight="1" x14ac:dyDescent="0.3"/>
    <row r="347" ht="14.25" customHeight="1" x14ac:dyDescent="0.3"/>
    <row r="348" ht="14.25" customHeight="1" x14ac:dyDescent="0.3"/>
    <row r="349" ht="14.25" customHeight="1" x14ac:dyDescent="0.3"/>
    <row r="350" ht="14.25" customHeight="1" x14ac:dyDescent="0.3"/>
    <row r="351" ht="14.25" customHeight="1" x14ac:dyDescent="0.3"/>
    <row r="352" ht="14.25" customHeight="1" x14ac:dyDescent="0.3"/>
    <row r="353" ht="14.25" customHeight="1" x14ac:dyDescent="0.3"/>
    <row r="354" ht="14.25" customHeight="1" x14ac:dyDescent="0.3"/>
    <row r="355" ht="14.25" customHeight="1" x14ac:dyDescent="0.3"/>
    <row r="356" ht="14.25" customHeight="1" x14ac:dyDescent="0.3"/>
    <row r="357" ht="14.25" customHeight="1" x14ac:dyDescent="0.3"/>
    <row r="358" ht="14.25" customHeight="1" x14ac:dyDescent="0.3"/>
    <row r="359" ht="14.25" customHeight="1" x14ac:dyDescent="0.3"/>
    <row r="360" ht="14.25" customHeight="1" x14ac:dyDescent="0.3"/>
    <row r="361" ht="14.25" customHeight="1" x14ac:dyDescent="0.3"/>
    <row r="362" ht="14.25" customHeight="1" x14ac:dyDescent="0.3"/>
    <row r="363" ht="14.25" customHeight="1" x14ac:dyDescent="0.3"/>
    <row r="364" ht="14.25" customHeight="1" x14ac:dyDescent="0.3"/>
    <row r="365" ht="14.25" customHeight="1" x14ac:dyDescent="0.3"/>
    <row r="366" ht="14.25" customHeight="1" x14ac:dyDescent="0.3"/>
    <row r="367" ht="14.25" customHeight="1" x14ac:dyDescent="0.3"/>
    <row r="368" ht="14.25" customHeight="1" x14ac:dyDescent="0.3"/>
    <row r="369" ht="14.25" customHeight="1" x14ac:dyDescent="0.3"/>
    <row r="370" ht="14.25" customHeight="1" x14ac:dyDescent="0.3"/>
    <row r="371" ht="14.25" customHeight="1" x14ac:dyDescent="0.3"/>
    <row r="372" ht="14.25" customHeight="1" x14ac:dyDescent="0.3"/>
    <row r="373" ht="14.25" customHeight="1" x14ac:dyDescent="0.3"/>
    <row r="374" ht="14.25" customHeight="1" x14ac:dyDescent="0.3"/>
    <row r="375" ht="14.25" customHeight="1" x14ac:dyDescent="0.3"/>
    <row r="376" ht="14.25" customHeight="1" x14ac:dyDescent="0.3"/>
    <row r="377" ht="14.25" customHeight="1" x14ac:dyDescent="0.3"/>
    <row r="378" ht="14.25" customHeight="1" x14ac:dyDescent="0.3"/>
    <row r="379" ht="14.25" customHeight="1" x14ac:dyDescent="0.3"/>
    <row r="380" ht="14.25" customHeight="1" x14ac:dyDescent="0.3"/>
    <row r="381" ht="14.25" customHeight="1" x14ac:dyDescent="0.3"/>
    <row r="382" ht="14.25" customHeight="1" x14ac:dyDescent="0.3"/>
    <row r="383" ht="14.25" customHeight="1" x14ac:dyDescent="0.3"/>
    <row r="384" ht="14.25" customHeight="1" x14ac:dyDescent="0.3"/>
    <row r="385" ht="14.25" customHeight="1" x14ac:dyDescent="0.3"/>
    <row r="386" ht="14.25" customHeight="1" x14ac:dyDescent="0.3"/>
    <row r="387" ht="14.25" customHeight="1" x14ac:dyDescent="0.3"/>
    <row r="388" ht="14.25" customHeight="1" x14ac:dyDescent="0.3"/>
    <row r="389" ht="14.25" customHeight="1" x14ac:dyDescent="0.3"/>
    <row r="390" ht="14.25" customHeight="1" x14ac:dyDescent="0.3"/>
    <row r="391" ht="14.25" customHeight="1" x14ac:dyDescent="0.3"/>
    <row r="392" ht="14.25" customHeight="1" x14ac:dyDescent="0.3"/>
    <row r="393" ht="14.25" customHeight="1" x14ac:dyDescent="0.3"/>
    <row r="394" ht="14.25" customHeight="1" x14ac:dyDescent="0.3"/>
    <row r="395" ht="14.25" customHeight="1" x14ac:dyDescent="0.3"/>
    <row r="396" ht="14.25" customHeight="1" x14ac:dyDescent="0.3"/>
    <row r="397" ht="14.25" customHeight="1" x14ac:dyDescent="0.3"/>
    <row r="398" ht="14.25" customHeight="1" x14ac:dyDescent="0.3"/>
    <row r="399" ht="14.25" customHeight="1" x14ac:dyDescent="0.3"/>
    <row r="400" ht="14.25" customHeight="1" x14ac:dyDescent="0.3"/>
    <row r="401" ht="14.25" customHeight="1" x14ac:dyDescent="0.3"/>
    <row r="402" ht="14.25" customHeight="1" x14ac:dyDescent="0.3"/>
    <row r="403" ht="14.25" customHeight="1" x14ac:dyDescent="0.3"/>
    <row r="404" ht="14.25" customHeight="1" x14ac:dyDescent="0.3"/>
    <row r="405" ht="14.25" customHeight="1" x14ac:dyDescent="0.3"/>
    <row r="406" ht="14.25" customHeight="1" x14ac:dyDescent="0.3"/>
    <row r="407" ht="14.25" customHeight="1" x14ac:dyDescent="0.3"/>
    <row r="408" ht="14.25" customHeight="1" x14ac:dyDescent="0.3"/>
    <row r="409" ht="14.25" customHeight="1" x14ac:dyDescent="0.3"/>
    <row r="410" ht="14.25" customHeight="1" x14ac:dyDescent="0.3"/>
    <row r="411" ht="14.25" customHeight="1" x14ac:dyDescent="0.3"/>
    <row r="412" ht="14.25" customHeight="1" x14ac:dyDescent="0.3"/>
    <row r="413" ht="14.25" customHeight="1" x14ac:dyDescent="0.3"/>
    <row r="414" ht="14.25" customHeight="1" x14ac:dyDescent="0.3"/>
    <row r="415" ht="14.25" customHeight="1" x14ac:dyDescent="0.3"/>
    <row r="416" ht="14.25" customHeight="1" x14ac:dyDescent="0.3"/>
    <row r="417" ht="14.25" customHeight="1" x14ac:dyDescent="0.3"/>
    <row r="418" ht="14.25" customHeight="1" x14ac:dyDescent="0.3"/>
    <row r="419" ht="14.25" customHeight="1" x14ac:dyDescent="0.3"/>
    <row r="420" ht="14.25" customHeight="1" x14ac:dyDescent="0.3"/>
    <row r="421" ht="14.25" customHeight="1" x14ac:dyDescent="0.3"/>
    <row r="422" ht="14.25" customHeight="1" x14ac:dyDescent="0.3"/>
    <row r="423" ht="14.25" customHeight="1" x14ac:dyDescent="0.3"/>
    <row r="424" ht="14.25" customHeight="1" x14ac:dyDescent="0.3"/>
    <row r="425" ht="14.25" customHeight="1" x14ac:dyDescent="0.3"/>
    <row r="426" ht="14.25" customHeight="1" x14ac:dyDescent="0.3"/>
    <row r="427" ht="14.25" customHeight="1" x14ac:dyDescent="0.3"/>
    <row r="428" ht="14.25" customHeight="1" x14ac:dyDescent="0.3"/>
    <row r="429" ht="14.25" customHeight="1" x14ac:dyDescent="0.3"/>
    <row r="430" ht="14.25" customHeight="1" x14ac:dyDescent="0.3"/>
    <row r="431" ht="14.25" customHeight="1" x14ac:dyDescent="0.3"/>
    <row r="432" ht="14.25" customHeight="1" x14ac:dyDescent="0.3"/>
    <row r="433" ht="14.25" customHeight="1" x14ac:dyDescent="0.3"/>
    <row r="434" ht="14.25" customHeight="1" x14ac:dyDescent="0.3"/>
    <row r="435" ht="14.25" customHeight="1" x14ac:dyDescent="0.3"/>
    <row r="436" ht="14.25" customHeight="1" x14ac:dyDescent="0.3"/>
    <row r="437" ht="14.25" customHeight="1" x14ac:dyDescent="0.3"/>
    <row r="438" ht="14.25" customHeight="1" x14ac:dyDescent="0.3"/>
    <row r="439" ht="14.25" customHeight="1" x14ac:dyDescent="0.3"/>
    <row r="440" ht="14.25" customHeight="1" x14ac:dyDescent="0.3"/>
    <row r="441" ht="14.25" customHeight="1" x14ac:dyDescent="0.3"/>
    <row r="442" ht="14.25" customHeight="1" x14ac:dyDescent="0.3"/>
    <row r="443" ht="14.25" customHeight="1" x14ac:dyDescent="0.3"/>
    <row r="444" ht="14.25" customHeight="1" x14ac:dyDescent="0.3"/>
    <row r="445" ht="14.25" customHeight="1" x14ac:dyDescent="0.3"/>
    <row r="446" ht="14.25" customHeight="1" x14ac:dyDescent="0.3"/>
    <row r="447" ht="14.25" customHeight="1" x14ac:dyDescent="0.3"/>
    <row r="448" ht="14.25" customHeight="1" x14ac:dyDescent="0.3"/>
    <row r="449" ht="14.25" customHeight="1" x14ac:dyDescent="0.3"/>
    <row r="450" ht="14.25" customHeight="1" x14ac:dyDescent="0.3"/>
    <row r="451" ht="14.25" customHeight="1" x14ac:dyDescent="0.3"/>
    <row r="452" ht="14.25" customHeight="1" x14ac:dyDescent="0.3"/>
    <row r="453" ht="14.25" customHeight="1" x14ac:dyDescent="0.3"/>
    <row r="454" ht="14.25" customHeight="1" x14ac:dyDescent="0.3"/>
    <row r="455" ht="14.25" customHeight="1" x14ac:dyDescent="0.3"/>
    <row r="456" ht="14.25" customHeight="1" x14ac:dyDescent="0.3"/>
    <row r="457" ht="14.25" customHeight="1" x14ac:dyDescent="0.3"/>
    <row r="458" ht="14.25" customHeight="1" x14ac:dyDescent="0.3"/>
    <row r="459" ht="14.25" customHeight="1" x14ac:dyDescent="0.3"/>
    <row r="460" ht="14.25" customHeight="1" x14ac:dyDescent="0.3"/>
    <row r="461" ht="14.25" customHeight="1" x14ac:dyDescent="0.3"/>
    <row r="462" ht="14.25" customHeight="1" x14ac:dyDescent="0.3"/>
    <row r="463" ht="14.25" customHeight="1" x14ac:dyDescent="0.3"/>
    <row r="464" ht="14.25" customHeight="1" x14ac:dyDescent="0.3"/>
    <row r="465" ht="14.25" customHeight="1" x14ac:dyDescent="0.3"/>
    <row r="466" ht="14.25" customHeight="1" x14ac:dyDescent="0.3"/>
    <row r="467" ht="14.25" customHeight="1" x14ac:dyDescent="0.3"/>
    <row r="468" ht="14.25" customHeight="1" x14ac:dyDescent="0.3"/>
    <row r="469" ht="14.25" customHeight="1" x14ac:dyDescent="0.3"/>
    <row r="470" ht="14.25" customHeight="1" x14ac:dyDescent="0.3"/>
    <row r="471" ht="14.25" customHeight="1" x14ac:dyDescent="0.3"/>
    <row r="472" ht="14.25" customHeight="1" x14ac:dyDescent="0.3"/>
    <row r="473" ht="14.25" customHeight="1" x14ac:dyDescent="0.3"/>
    <row r="474" ht="14.25" customHeight="1" x14ac:dyDescent="0.3"/>
    <row r="475" ht="14.25" customHeight="1" x14ac:dyDescent="0.3"/>
    <row r="476" ht="14.25" customHeight="1" x14ac:dyDescent="0.3"/>
    <row r="477" ht="14.25" customHeight="1" x14ac:dyDescent="0.3"/>
    <row r="478" ht="14.25" customHeight="1" x14ac:dyDescent="0.3"/>
    <row r="479" ht="14.25" customHeight="1" x14ac:dyDescent="0.3"/>
    <row r="480" ht="14.25" customHeight="1" x14ac:dyDescent="0.3"/>
    <row r="481" ht="14.25" customHeight="1" x14ac:dyDescent="0.3"/>
    <row r="482" ht="14.25" customHeight="1" x14ac:dyDescent="0.3"/>
    <row r="483" ht="14.25" customHeight="1" x14ac:dyDescent="0.3"/>
    <row r="484" ht="14.25" customHeight="1" x14ac:dyDescent="0.3"/>
    <row r="485" ht="14.25" customHeight="1" x14ac:dyDescent="0.3"/>
    <row r="486" ht="14.25" customHeight="1" x14ac:dyDescent="0.3"/>
    <row r="487" ht="14.25" customHeight="1" x14ac:dyDescent="0.3"/>
    <row r="488" ht="14.25" customHeight="1" x14ac:dyDescent="0.3"/>
    <row r="489" ht="14.25" customHeight="1" x14ac:dyDescent="0.3"/>
    <row r="490" ht="14.25" customHeight="1" x14ac:dyDescent="0.3"/>
    <row r="491" ht="14.25" customHeight="1" x14ac:dyDescent="0.3"/>
    <row r="492" ht="14.25" customHeight="1" x14ac:dyDescent="0.3"/>
    <row r="493" ht="14.25" customHeight="1" x14ac:dyDescent="0.3"/>
    <row r="494" ht="14.25" customHeight="1" x14ac:dyDescent="0.3"/>
    <row r="495" ht="14.25" customHeight="1" x14ac:dyDescent="0.3"/>
    <row r="496" ht="14.25" customHeight="1" x14ac:dyDescent="0.3"/>
    <row r="497" ht="14.25" customHeight="1" x14ac:dyDescent="0.3"/>
    <row r="498" ht="14.25" customHeight="1" x14ac:dyDescent="0.3"/>
    <row r="499" ht="14.25" customHeight="1" x14ac:dyDescent="0.3"/>
    <row r="500" ht="14.25" customHeight="1" x14ac:dyDescent="0.3"/>
    <row r="501" ht="14.25" customHeight="1" x14ac:dyDescent="0.3"/>
    <row r="502" ht="14.25" customHeight="1" x14ac:dyDescent="0.3"/>
    <row r="503" ht="14.25" customHeight="1" x14ac:dyDescent="0.3"/>
    <row r="504" ht="14.25" customHeight="1" x14ac:dyDescent="0.3"/>
    <row r="505" ht="14.25" customHeight="1" x14ac:dyDescent="0.3"/>
    <row r="506" ht="14.25" customHeight="1" x14ac:dyDescent="0.3"/>
    <row r="507" ht="14.25" customHeight="1" x14ac:dyDescent="0.3"/>
    <row r="508" ht="14.25" customHeight="1" x14ac:dyDescent="0.3"/>
    <row r="509" ht="14.25" customHeight="1" x14ac:dyDescent="0.3"/>
    <row r="510" ht="14.25" customHeight="1" x14ac:dyDescent="0.3"/>
    <row r="511" ht="14.25" customHeight="1" x14ac:dyDescent="0.3"/>
    <row r="512" ht="14.25" customHeight="1" x14ac:dyDescent="0.3"/>
    <row r="513" ht="14.25" customHeight="1" x14ac:dyDescent="0.3"/>
    <row r="514" ht="14.25" customHeight="1" x14ac:dyDescent="0.3"/>
    <row r="515" ht="14.25" customHeight="1" x14ac:dyDescent="0.3"/>
    <row r="516" ht="14.25" customHeight="1" x14ac:dyDescent="0.3"/>
    <row r="517" ht="14.25" customHeight="1" x14ac:dyDescent="0.3"/>
    <row r="518" ht="14.25" customHeight="1" x14ac:dyDescent="0.3"/>
    <row r="519" ht="14.25" customHeight="1" x14ac:dyDescent="0.3"/>
    <row r="520" ht="14.25" customHeight="1" x14ac:dyDescent="0.3"/>
    <row r="521" ht="14.25" customHeight="1" x14ac:dyDescent="0.3"/>
    <row r="522" ht="14.25" customHeight="1" x14ac:dyDescent="0.3"/>
    <row r="523" ht="14.25" customHeight="1" x14ac:dyDescent="0.3"/>
    <row r="524" ht="14.25" customHeight="1" x14ac:dyDescent="0.3"/>
    <row r="525" ht="14.25" customHeight="1" x14ac:dyDescent="0.3"/>
    <row r="526" ht="14.25" customHeight="1" x14ac:dyDescent="0.3"/>
    <row r="527" ht="14.25" customHeight="1" x14ac:dyDescent="0.3"/>
    <row r="528" ht="14.25" customHeight="1" x14ac:dyDescent="0.3"/>
    <row r="529" ht="14.25" customHeight="1" x14ac:dyDescent="0.3"/>
    <row r="530" ht="14.25" customHeight="1" x14ac:dyDescent="0.3"/>
    <row r="531" ht="14.25" customHeight="1" x14ac:dyDescent="0.3"/>
    <row r="532" ht="14.25" customHeight="1" x14ac:dyDescent="0.3"/>
    <row r="533" ht="14.25" customHeight="1" x14ac:dyDescent="0.3"/>
    <row r="534" ht="14.25" customHeight="1" x14ac:dyDescent="0.3"/>
    <row r="535" ht="14.25" customHeight="1" x14ac:dyDescent="0.3"/>
    <row r="536" ht="14.25" customHeight="1" x14ac:dyDescent="0.3"/>
    <row r="537" ht="14.25" customHeight="1" x14ac:dyDescent="0.3"/>
    <row r="538" ht="14.25" customHeight="1" x14ac:dyDescent="0.3"/>
    <row r="539" ht="14.25" customHeight="1" x14ac:dyDescent="0.3"/>
    <row r="540" ht="14.25" customHeight="1" x14ac:dyDescent="0.3"/>
    <row r="541" ht="14.25" customHeight="1" x14ac:dyDescent="0.3"/>
    <row r="542" ht="14.25" customHeight="1" x14ac:dyDescent="0.3"/>
    <row r="543" ht="14.25" customHeight="1" x14ac:dyDescent="0.3"/>
    <row r="544" ht="14.25" customHeight="1" x14ac:dyDescent="0.3"/>
    <row r="545" ht="14.25" customHeight="1" x14ac:dyDescent="0.3"/>
    <row r="546" ht="14.25" customHeight="1" x14ac:dyDescent="0.3"/>
    <row r="547" ht="14.25" customHeight="1" x14ac:dyDescent="0.3"/>
    <row r="548" ht="14.25" customHeight="1" x14ac:dyDescent="0.3"/>
    <row r="549" ht="14.25" customHeight="1" x14ac:dyDescent="0.3"/>
    <row r="550" ht="14.25" customHeight="1" x14ac:dyDescent="0.3"/>
    <row r="551" ht="14.25" customHeight="1" x14ac:dyDescent="0.3"/>
    <row r="552" ht="14.25" customHeight="1" x14ac:dyDescent="0.3"/>
    <row r="553" ht="14.25" customHeight="1" x14ac:dyDescent="0.3"/>
    <row r="554" ht="14.25" customHeight="1" x14ac:dyDescent="0.3"/>
    <row r="555" ht="14.25" customHeight="1" x14ac:dyDescent="0.3"/>
    <row r="556" ht="14.25" customHeight="1" x14ac:dyDescent="0.3"/>
    <row r="557" ht="14.25" customHeight="1" x14ac:dyDescent="0.3"/>
    <row r="558" ht="14.25" customHeight="1" x14ac:dyDescent="0.3"/>
    <row r="559" ht="14.25" customHeight="1" x14ac:dyDescent="0.3"/>
    <row r="560" ht="14.25" customHeight="1" x14ac:dyDescent="0.3"/>
    <row r="561" ht="14.25" customHeight="1" x14ac:dyDescent="0.3"/>
    <row r="562" ht="14.25" customHeight="1" x14ac:dyDescent="0.3"/>
    <row r="563" ht="14.25" customHeight="1" x14ac:dyDescent="0.3"/>
    <row r="564" ht="14.25" customHeight="1" x14ac:dyDescent="0.3"/>
    <row r="565" ht="14.25" customHeight="1" x14ac:dyDescent="0.3"/>
    <row r="566" ht="14.25" customHeight="1" x14ac:dyDescent="0.3"/>
    <row r="567" ht="14.25" customHeight="1" x14ac:dyDescent="0.3"/>
    <row r="568" ht="14.25" customHeight="1" x14ac:dyDescent="0.3"/>
    <row r="569" ht="14.25" customHeight="1" x14ac:dyDescent="0.3"/>
    <row r="570" ht="14.25" customHeight="1" x14ac:dyDescent="0.3"/>
    <row r="571" ht="14.25" customHeight="1" x14ac:dyDescent="0.3"/>
    <row r="572" ht="14.25" customHeight="1" x14ac:dyDescent="0.3"/>
    <row r="573" ht="14.25" customHeight="1" x14ac:dyDescent="0.3"/>
    <row r="574" ht="14.25" customHeight="1" x14ac:dyDescent="0.3"/>
    <row r="575" ht="14.25" customHeight="1" x14ac:dyDescent="0.3"/>
    <row r="576" ht="14.25" customHeight="1" x14ac:dyDescent="0.3"/>
    <row r="577" ht="14.25" customHeight="1" x14ac:dyDescent="0.3"/>
    <row r="578" ht="14.25" customHeight="1" x14ac:dyDescent="0.3"/>
    <row r="579" ht="14.25" customHeight="1" x14ac:dyDescent="0.3"/>
    <row r="580" ht="14.25" customHeight="1" x14ac:dyDescent="0.3"/>
    <row r="581" ht="14.25" customHeight="1" x14ac:dyDescent="0.3"/>
    <row r="582" ht="14.25" customHeight="1" x14ac:dyDescent="0.3"/>
    <row r="583" ht="14.25" customHeight="1" x14ac:dyDescent="0.3"/>
    <row r="584" ht="14.25" customHeight="1" x14ac:dyDescent="0.3"/>
    <row r="585" ht="14.25" customHeight="1" x14ac:dyDescent="0.3"/>
    <row r="586" ht="14.25" customHeight="1" x14ac:dyDescent="0.3"/>
    <row r="587" ht="14.25" customHeight="1" x14ac:dyDescent="0.3"/>
    <row r="588" ht="14.25" customHeight="1" x14ac:dyDescent="0.3"/>
    <row r="589" ht="14.25" customHeight="1" x14ac:dyDescent="0.3"/>
    <row r="590" ht="14.25" customHeight="1" x14ac:dyDescent="0.3"/>
    <row r="591" ht="14.25" customHeight="1" x14ac:dyDescent="0.3"/>
    <row r="592" ht="14.25" customHeight="1" x14ac:dyDescent="0.3"/>
    <row r="593" ht="14.25" customHeight="1" x14ac:dyDescent="0.3"/>
    <row r="594" ht="14.25" customHeight="1" x14ac:dyDescent="0.3"/>
    <row r="595" ht="14.25" customHeight="1" x14ac:dyDescent="0.3"/>
    <row r="596" ht="14.25" customHeight="1" x14ac:dyDescent="0.3"/>
    <row r="597" ht="14.25" customHeight="1" x14ac:dyDescent="0.3"/>
    <row r="598" ht="14.25" customHeight="1" x14ac:dyDescent="0.3"/>
    <row r="599" ht="14.25" customHeight="1" x14ac:dyDescent="0.3"/>
    <row r="600" ht="14.25" customHeight="1" x14ac:dyDescent="0.3"/>
    <row r="601" ht="14.25" customHeight="1" x14ac:dyDescent="0.3"/>
    <row r="602" ht="14.25" customHeight="1" x14ac:dyDescent="0.3"/>
    <row r="603" ht="14.25" customHeight="1" x14ac:dyDescent="0.3"/>
    <row r="604" ht="14.25" customHeight="1" x14ac:dyDescent="0.3"/>
    <row r="605" ht="14.25" customHeight="1" x14ac:dyDescent="0.3"/>
    <row r="606" ht="14.25" customHeight="1" x14ac:dyDescent="0.3"/>
    <row r="607" ht="14.25" customHeight="1" x14ac:dyDescent="0.3"/>
    <row r="608" ht="14.25" customHeight="1" x14ac:dyDescent="0.3"/>
    <row r="609" ht="14.25" customHeight="1" x14ac:dyDescent="0.3"/>
    <row r="610" ht="14.25" customHeight="1" x14ac:dyDescent="0.3"/>
    <row r="611" ht="14.25" customHeight="1" x14ac:dyDescent="0.3"/>
    <row r="612" ht="14.25" customHeight="1" x14ac:dyDescent="0.3"/>
    <row r="613" ht="14.25" customHeight="1" x14ac:dyDescent="0.3"/>
    <row r="614" ht="14.25" customHeight="1" x14ac:dyDescent="0.3"/>
    <row r="615" ht="14.25" customHeight="1" x14ac:dyDescent="0.3"/>
    <row r="616" ht="14.25" customHeight="1" x14ac:dyDescent="0.3"/>
    <row r="617" ht="14.25" customHeight="1" x14ac:dyDescent="0.3"/>
    <row r="618" ht="14.25" customHeight="1" x14ac:dyDescent="0.3"/>
    <row r="619" ht="14.25" customHeight="1" x14ac:dyDescent="0.3"/>
    <row r="620" ht="14.25" customHeight="1" x14ac:dyDescent="0.3"/>
    <row r="621" ht="14.25" customHeight="1" x14ac:dyDescent="0.3"/>
    <row r="622" ht="14.25" customHeight="1" x14ac:dyDescent="0.3"/>
    <row r="623" ht="14.25" customHeight="1" x14ac:dyDescent="0.3"/>
    <row r="624" ht="14.25" customHeight="1" x14ac:dyDescent="0.3"/>
    <row r="625" ht="14.25" customHeight="1" x14ac:dyDescent="0.3"/>
    <row r="626" ht="14.25" customHeight="1" x14ac:dyDescent="0.3"/>
    <row r="627" ht="14.25" customHeight="1" x14ac:dyDescent="0.3"/>
    <row r="628" ht="14.25" customHeight="1" x14ac:dyDescent="0.3"/>
    <row r="629" ht="14.25" customHeight="1" x14ac:dyDescent="0.3"/>
    <row r="630" ht="14.25" customHeight="1" x14ac:dyDescent="0.3"/>
    <row r="631" ht="14.25" customHeight="1" x14ac:dyDescent="0.3"/>
    <row r="632" ht="14.25" customHeight="1" x14ac:dyDescent="0.3"/>
    <row r="633" ht="14.25" customHeight="1" x14ac:dyDescent="0.3"/>
    <row r="634" ht="14.25" customHeight="1" x14ac:dyDescent="0.3"/>
    <row r="635" ht="14.25" customHeight="1" x14ac:dyDescent="0.3"/>
    <row r="636" ht="14.25" customHeight="1" x14ac:dyDescent="0.3"/>
    <row r="637" ht="14.25" customHeight="1" x14ac:dyDescent="0.3"/>
    <row r="638" ht="14.25" customHeight="1" x14ac:dyDescent="0.3"/>
    <row r="639" ht="14.25" customHeight="1" x14ac:dyDescent="0.3"/>
    <row r="640" ht="14.25" customHeight="1" x14ac:dyDescent="0.3"/>
    <row r="641" ht="14.25" customHeight="1" x14ac:dyDescent="0.3"/>
    <row r="642" ht="14.25" customHeight="1" x14ac:dyDescent="0.3"/>
    <row r="643" ht="14.25" customHeight="1" x14ac:dyDescent="0.3"/>
    <row r="644" ht="14.25" customHeight="1" x14ac:dyDescent="0.3"/>
    <row r="645" ht="14.25" customHeight="1" x14ac:dyDescent="0.3"/>
    <row r="646" ht="14.25" customHeight="1" x14ac:dyDescent="0.3"/>
    <row r="647" ht="14.25" customHeight="1" x14ac:dyDescent="0.3"/>
    <row r="648" ht="14.25" customHeight="1" x14ac:dyDescent="0.3"/>
    <row r="649" ht="14.25" customHeight="1" x14ac:dyDescent="0.3"/>
    <row r="650" ht="14.25" customHeight="1" x14ac:dyDescent="0.3"/>
    <row r="651" ht="14.25" customHeight="1" x14ac:dyDescent="0.3"/>
    <row r="652" ht="14.25" customHeight="1" x14ac:dyDescent="0.3"/>
    <row r="653" ht="14.25" customHeight="1" x14ac:dyDescent="0.3"/>
    <row r="654" ht="14.25" customHeight="1" x14ac:dyDescent="0.3"/>
    <row r="655" ht="14.25" customHeight="1" x14ac:dyDescent="0.3"/>
    <row r="656" ht="14.25" customHeight="1" x14ac:dyDescent="0.3"/>
    <row r="657" ht="14.25" customHeight="1" x14ac:dyDescent="0.3"/>
    <row r="658" ht="14.25" customHeight="1" x14ac:dyDescent="0.3"/>
    <row r="659" ht="14.25" customHeight="1" x14ac:dyDescent="0.3"/>
    <row r="660" ht="14.25" customHeight="1" x14ac:dyDescent="0.3"/>
    <row r="661" ht="14.25" customHeight="1" x14ac:dyDescent="0.3"/>
    <row r="662" ht="14.25" customHeight="1" x14ac:dyDescent="0.3"/>
    <row r="663" ht="14.25" customHeight="1" x14ac:dyDescent="0.3"/>
    <row r="664" ht="14.25" customHeight="1" x14ac:dyDescent="0.3"/>
    <row r="665" ht="14.25" customHeight="1" x14ac:dyDescent="0.3"/>
    <row r="666" ht="14.25" customHeight="1" x14ac:dyDescent="0.3"/>
    <row r="667" ht="14.25" customHeight="1" x14ac:dyDescent="0.3"/>
    <row r="668" ht="14.25" customHeight="1" x14ac:dyDescent="0.3"/>
    <row r="669" ht="14.25" customHeight="1" x14ac:dyDescent="0.3"/>
    <row r="670" ht="14.25" customHeight="1" x14ac:dyDescent="0.3"/>
    <row r="671" ht="14.25" customHeight="1" x14ac:dyDescent="0.3"/>
    <row r="672" ht="14.25" customHeight="1" x14ac:dyDescent="0.3"/>
    <row r="673" ht="14.25" customHeight="1" x14ac:dyDescent="0.3"/>
    <row r="674" ht="14.25" customHeight="1" x14ac:dyDescent="0.3"/>
    <row r="675" ht="14.25" customHeight="1" x14ac:dyDescent="0.3"/>
    <row r="676" ht="14.25" customHeight="1" x14ac:dyDescent="0.3"/>
    <row r="677" ht="14.25" customHeight="1" x14ac:dyDescent="0.3"/>
    <row r="678" ht="14.25" customHeight="1" x14ac:dyDescent="0.3"/>
    <row r="679" ht="14.25" customHeight="1" x14ac:dyDescent="0.3"/>
    <row r="680" ht="14.25" customHeight="1" x14ac:dyDescent="0.3"/>
    <row r="681" ht="14.25" customHeight="1" x14ac:dyDescent="0.3"/>
    <row r="682" ht="14.25" customHeight="1" x14ac:dyDescent="0.3"/>
    <row r="683" ht="14.25" customHeight="1" x14ac:dyDescent="0.3"/>
    <row r="684" ht="14.25" customHeight="1" x14ac:dyDescent="0.3"/>
    <row r="685" ht="14.25" customHeight="1" x14ac:dyDescent="0.3"/>
    <row r="686" ht="14.25" customHeight="1" x14ac:dyDescent="0.3"/>
    <row r="687" ht="14.25" customHeight="1" x14ac:dyDescent="0.3"/>
    <row r="688" ht="14.25" customHeight="1" x14ac:dyDescent="0.3"/>
    <row r="689" ht="14.25" customHeight="1" x14ac:dyDescent="0.3"/>
    <row r="690" ht="14.25" customHeight="1" x14ac:dyDescent="0.3"/>
    <row r="691" ht="14.25" customHeight="1" x14ac:dyDescent="0.3"/>
    <row r="692" ht="14.25" customHeight="1" x14ac:dyDescent="0.3"/>
    <row r="693" ht="14.25" customHeight="1" x14ac:dyDescent="0.3"/>
    <row r="694" ht="14.25" customHeight="1" x14ac:dyDescent="0.3"/>
    <row r="695" ht="14.25" customHeight="1" x14ac:dyDescent="0.3"/>
    <row r="696" ht="14.25" customHeight="1" x14ac:dyDescent="0.3"/>
    <row r="697" ht="14.25" customHeight="1" x14ac:dyDescent="0.3"/>
    <row r="698" ht="14.25" customHeight="1" x14ac:dyDescent="0.3"/>
    <row r="699" ht="14.25" customHeight="1" x14ac:dyDescent="0.3"/>
    <row r="700" ht="14.25" customHeight="1" x14ac:dyDescent="0.3"/>
    <row r="701" ht="14.25" customHeight="1" x14ac:dyDescent="0.3"/>
    <row r="702" ht="14.25" customHeight="1" x14ac:dyDescent="0.3"/>
    <row r="703" ht="14.25" customHeight="1" x14ac:dyDescent="0.3"/>
    <row r="704" ht="14.25" customHeight="1" x14ac:dyDescent="0.3"/>
    <row r="705" ht="14.25" customHeight="1" x14ac:dyDescent="0.3"/>
    <row r="706" ht="14.25" customHeight="1" x14ac:dyDescent="0.3"/>
    <row r="707" ht="14.25" customHeight="1" x14ac:dyDescent="0.3"/>
    <row r="708" ht="14.25" customHeight="1" x14ac:dyDescent="0.3"/>
    <row r="709" ht="14.25" customHeight="1" x14ac:dyDescent="0.3"/>
    <row r="710" ht="14.25" customHeight="1" x14ac:dyDescent="0.3"/>
    <row r="711" ht="14.25" customHeight="1" x14ac:dyDescent="0.3"/>
    <row r="712" ht="14.25" customHeight="1" x14ac:dyDescent="0.3"/>
    <row r="713" ht="14.25" customHeight="1" x14ac:dyDescent="0.3"/>
    <row r="714" ht="14.25" customHeight="1" x14ac:dyDescent="0.3"/>
    <row r="715" ht="14.25" customHeight="1" x14ac:dyDescent="0.3"/>
    <row r="716" ht="14.25" customHeight="1" x14ac:dyDescent="0.3"/>
    <row r="717" ht="14.25" customHeight="1" x14ac:dyDescent="0.3"/>
    <row r="718" ht="14.25" customHeight="1" x14ac:dyDescent="0.3"/>
    <row r="719" ht="14.25" customHeight="1" x14ac:dyDescent="0.3"/>
    <row r="720" ht="14.25" customHeight="1" x14ac:dyDescent="0.3"/>
    <row r="721" ht="14.25" customHeight="1" x14ac:dyDescent="0.3"/>
    <row r="722" ht="14.25" customHeight="1" x14ac:dyDescent="0.3"/>
    <row r="723" ht="14.25" customHeight="1" x14ac:dyDescent="0.3"/>
    <row r="724" ht="14.25" customHeight="1" x14ac:dyDescent="0.3"/>
    <row r="725" ht="14.25" customHeight="1" x14ac:dyDescent="0.3"/>
    <row r="726" ht="14.25" customHeight="1" x14ac:dyDescent="0.3"/>
    <row r="727" ht="14.25" customHeight="1" x14ac:dyDescent="0.3"/>
    <row r="728" ht="14.25" customHeight="1" x14ac:dyDescent="0.3"/>
    <row r="729" ht="14.25" customHeight="1" x14ac:dyDescent="0.3"/>
    <row r="730" ht="14.25" customHeight="1" x14ac:dyDescent="0.3"/>
    <row r="731" ht="14.25" customHeight="1" x14ac:dyDescent="0.3"/>
    <row r="732" ht="14.25" customHeight="1" x14ac:dyDescent="0.3"/>
    <row r="733" ht="14.25" customHeight="1" x14ac:dyDescent="0.3"/>
    <row r="734" ht="14.25" customHeight="1" x14ac:dyDescent="0.3"/>
    <row r="735" ht="14.25" customHeight="1" x14ac:dyDescent="0.3"/>
    <row r="736" ht="14.25" customHeight="1" x14ac:dyDescent="0.3"/>
    <row r="737" ht="14.25" customHeight="1" x14ac:dyDescent="0.3"/>
    <row r="738" ht="14.25" customHeight="1" x14ac:dyDescent="0.3"/>
    <row r="739" ht="14.25" customHeight="1" x14ac:dyDescent="0.3"/>
    <row r="740" ht="14.25" customHeight="1" x14ac:dyDescent="0.3"/>
    <row r="741" ht="14.25" customHeight="1" x14ac:dyDescent="0.3"/>
    <row r="742" ht="14.25" customHeight="1" x14ac:dyDescent="0.3"/>
    <row r="743" ht="14.25" customHeight="1" x14ac:dyDescent="0.3"/>
    <row r="744" ht="14.25" customHeight="1" x14ac:dyDescent="0.3"/>
    <row r="745" ht="14.25" customHeight="1" x14ac:dyDescent="0.3"/>
    <row r="746" ht="14.25" customHeight="1" x14ac:dyDescent="0.3"/>
    <row r="747" ht="14.25" customHeight="1" x14ac:dyDescent="0.3"/>
    <row r="748" ht="14.25" customHeight="1" x14ac:dyDescent="0.3"/>
    <row r="749" ht="14.25" customHeight="1" x14ac:dyDescent="0.3"/>
    <row r="750" ht="14.25" customHeight="1" x14ac:dyDescent="0.3"/>
    <row r="751" ht="14.25" customHeight="1" x14ac:dyDescent="0.3"/>
    <row r="752" ht="14.25" customHeight="1" x14ac:dyDescent="0.3"/>
    <row r="753" ht="14.25" customHeight="1" x14ac:dyDescent="0.3"/>
    <row r="754" ht="14.25" customHeight="1" x14ac:dyDescent="0.3"/>
    <row r="755" ht="14.25" customHeight="1" x14ac:dyDescent="0.3"/>
    <row r="756" ht="14.25" customHeight="1" x14ac:dyDescent="0.3"/>
    <row r="757" ht="14.25" customHeight="1" x14ac:dyDescent="0.3"/>
    <row r="758" ht="14.25" customHeight="1" x14ac:dyDescent="0.3"/>
    <row r="759" ht="14.25" customHeight="1" x14ac:dyDescent="0.3"/>
    <row r="760" ht="14.25" customHeight="1" x14ac:dyDescent="0.3"/>
    <row r="761" ht="14.25" customHeight="1" x14ac:dyDescent="0.3"/>
    <row r="762" ht="14.25" customHeight="1" x14ac:dyDescent="0.3"/>
    <row r="763" ht="14.25" customHeight="1" x14ac:dyDescent="0.3"/>
    <row r="764" ht="14.25" customHeight="1" x14ac:dyDescent="0.3"/>
    <row r="765" ht="14.25" customHeight="1" x14ac:dyDescent="0.3"/>
    <row r="766" ht="14.25" customHeight="1" x14ac:dyDescent="0.3"/>
    <row r="767" ht="14.25" customHeight="1" x14ac:dyDescent="0.3"/>
    <row r="768" ht="14.25" customHeight="1" x14ac:dyDescent="0.3"/>
    <row r="769" ht="14.25" customHeight="1" x14ac:dyDescent="0.3"/>
    <row r="770" ht="14.25" customHeight="1" x14ac:dyDescent="0.3"/>
    <row r="771" ht="14.25" customHeight="1" x14ac:dyDescent="0.3"/>
    <row r="772" ht="14.25" customHeight="1" x14ac:dyDescent="0.3"/>
    <row r="773" ht="14.25" customHeight="1" x14ac:dyDescent="0.3"/>
    <row r="774" ht="14.25" customHeight="1" x14ac:dyDescent="0.3"/>
    <row r="775" ht="14.25" customHeight="1" x14ac:dyDescent="0.3"/>
    <row r="776" ht="14.25" customHeight="1" x14ac:dyDescent="0.3"/>
    <row r="777" ht="14.25" customHeight="1" x14ac:dyDescent="0.3"/>
    <row r="778" ht="14.25" customHeight="1" x14ac:dyDescent="0.3"/>
    <row r="779" ht="14.25" customHeight="1" x14ac:dyDescent="0.3"/>
    <row r="780" ht="14.25" customHeight="1" x14ac:dyDescent="0.3"/>
    <row r="781" ht="14.25" customHeight="1" x14ac:dyDescent="0.3"/>
    <row r="782" ht="14.25" customHeight="1" x14ac:dyDescent="0.3"/>
    <row r="783" ht="14.25" customHeight="1" x14ac:dyDescent="0.3"/>
    <row r="784" ht="14.25" customHeight="1" x14ac:dyDescent="0.3"/>
    <row r="785" ht="14.25" customHeight="1" x14ac:dyDescent="0.3"/>
    <row r="786" ht="14.25" customHeight="1" x14ac:dyDescent="0.3"/>
    <row r="787" ht="14.25" customHeight="1" x14ac:dyDescent="0.3"/>
    <row r="788" ht="14.25" customHeight="1" x14ac:dyDescent="0.3"/>
    <row r="789" ht="14.25" customHeight="1" x14ac:dyDescent="0.3"/>
    <row r="790" ht="14.25" customHeight="1" x14ac:dyDescent="0.3"/>
    <row r="791" ht="14.25" customHeight="1" x14ac:dyDescent="0.3"/>
    <row r="792" ht="14.25" customHeight="1" x14ac:dyDescent="0.3"/>
    <row r="793" ht="14.25" customHeight="1" x14ac:dyDescent="0.3"/>
    <row r="794" ht="14.25" customHeight="1" x14ac:dyDescent="0.3"/>
    <row r="795" ht="14.25" customHeight="1" x14ac:dyDescent="0.3"/>
    <row r="796" ht="14.25" customHeight="1" x14ac:dyDescent="0.3"/>
    <row r="797" ht="14.25" customHeight="1" x14ac:dyDescent="0.3"/>
    <row r="798" ht="14.25" customHeight="1" x14ac:dyDescent="0.3"/>
    <row r="799" ht="14.25" customHeight="1" x14ac:dyDescent="0.3"/>
    <row r="800" ht="14.25" customHeight="1" x14ac:dyDescent="0.3"/>
    <row r="801" ht="14.25" customHeight="1" x14ac:dyDescent="0.3"/>
    <row r="802" ht="14.25" customHeight="1" x14ac:dyDescent="0.3"/>
    <row r="803" ht="14.25" customHeight="1" x14ac:dyDescent="0.3"/>
    <row r="804" ht="14.25" customHeight="1" x14ac:dyDescent="0.3"/>
    <row r="805" ht="14.25" customHeight="1" x14ac:dyDescent="0.3"/>
    <row r="806" ht="14.25" customHeight="1" x14ac:dyDescent="0.3"/>
    <row r="807" ht="14.25" customHeight="1" x14ac:dyDescent="0.3"/>
    <row r="808" ht="14.25" customHeight="1" x14ac:dyDescent="0.3"/>
    <row r="809" ht="14.25" customHeight="1" x14ac:dyDescent="0.3"/>
    <row r="810" ht="14.25" customHeight="1" x14ac:dyDescent="0.3"/>
    <row r="811" ht="14.25" customHeight="1" x14ac:dyDescent="0.3"/>
    <row r="812" ht="14.25" customHeight="1" x14ac:dyDescent="0.3"/>
    <row r="813" ht="14.25" customHeight="1" x14ac:dyDescent="0.3"/>
    <row r="814" ht="14.25" customHeight="1" x14ac:dyDescent="0.3"/>
    <row r="815" ht="14.25" customHeight="1" x14ac:dyDescent="0.3"/>
    <row r="816" ht="14.25" customHeight="1" x14ac:dyDescent="0.3"/>
    <row r="817" ht="14.25" customHeight="1" x14ac:dyDescent="0.3"/>
    <row r="818" ht="14.25" customHeight="1" x14ac:dyDescent="0.3"/>
    <row r="819" ht="14.25" customHeight="1" x14ac:dyDescent="0.3"/>
    <row r="820" ht="14.25" customHeight="1" x14ac:dyDescent="0.3"/>
    <row r="821" ht="14.25" customHeight="1" x14ac:dyDescent="0.3"/>
    <row r="822" ht="14.25" customHeight="1" x14ac:dyDescent="0.3"/>
    <row r="823" ht="14.25" customHeight="1" x14ac:dyDescent="0.3"/>
    <row r="824" ht="14.25" customHeight="1" x14ac:dyDescent="0.3"/>
    <row r="825" ht="14.25" customHeight="1" x14ac:dyDescent="0.3"/>
    <row r="826" ht="14.25" customHeight="1" x14ac:dyDescent="0.3"/>
    <row r="827" ht="14.25" customHeight="1" x14ac:dyDescent="0.3"/>
    <row r="828" ht="14.25" customHeight="1" x14ac:dyDescent="0.3"/>
    <row r="829" ht="14.25" customHeight="1" x14ac:dyDescent="0.3"/>
    <row r="830" ht="14.25" customHeight="1" x14ac:dyDescent="0.3"/>
    <row r="831" ht="14.25" customHeight="1" x14ac:dyDescent="0.3"/>
    <row r="832" ht="14.25" customHeight="1" x14ac:dyDescent="0.3"/>
    <row r="833" ht="14.25" customHeight="1" x14ac:dyDescent="0.3"/>
    <row r="834" ht="14.25" customHeight="1" x14ac:dyDescent="0.3"/>
    <row r="835" ht="14.25" customHeight="1" x14ac:dyDescent="0.3"/>
    <row r="836" ht="14.25" customHeight="1" x14ac:dyDescent="0.3"/>
    <row r="837" ht="14.25" customHeight="1" x14ac:dyDescent="0.3"/>
    <row r="838" ht="14.25" customHeight="1" x14ac:dyDescent="0.3"/>
    <row r="839" ht="14.25" customHeight="1" x14ac:dyDescent="0.3"/>
    <row r="840" ht="14.25" customHeight="1" x14ac:dyDescent="0.3"/>
    <row r="841" ht="14.25" customHeight="1" x14ac:dyDescent="0.3"/>
    <row r="842" ht="14.25" customHeight="1" x14ac:dyDescent="0.3"/>
    <row r="843" ht="14.25" customHeight="1" x14ac:dyDescent="0.3"/>
    <row r="844" ht="14.25" customHeight="1" x14ac:dyDescent="0.3"/>
    <row r="845" ht="14.25" customHeight="1" x14ac:dyDescent="0.3"/>
    <row r="846" ht="14.25" customHeight="1" x14ac:dyDescent="0.3"/>
    <row r="847" ht="14.25" customHeight="1" x14ac:dyDescent="0.3"/>
    <row r="848" ht="14.25" customHeight="1" x14ac:dyDescent="0.3"/>
    <row r="849" ht="14.25" customHeight="1" x14ac:dyDescent="0.3"/>
    <row r="850" ht="14.25" customHeight="1" x14ac:dyDescent="0.3"/>
    <row r="851" ht="14.25" customHeight="1" x14ac:dyDescent="0.3"/>
    <row r="852" ht="14.25" customHeight="1" x14ac:dyDescent="0.3"/>
    <row r="853" ht="14.25" customHeight="1" x14ac:dyDescent="0.3"/>
    <row r="854" ht="14.25" customHeight="1" x14ac:dyDescent="0.3"/>
    <row r="855" ht="14.25" customHeight="1" x14ac:dyDescent="0.3"/>
    <row r="856" ht="14.25" customHeight="1" x14ac:dyDescent="0.3"/>
    <row r="857" ht="14.25" customHeight="1" x14ac:dyDescent="0.3"/>
    <row r="858" ht="14.25" customHeight="1" x14ac:dyDescent="0.3"/>
    <row r="859" ht="14.25" customHeight="1" x14ac:dyDescent="0.3"/>
    <row r="860" ht="14.25" customHeight="1" x14ac:dyDescent="0.3"/>
    <row r="861" ht="14.25" customHeight="1" x14ac:dyDescent="0.3"/>
    <row r="862" ht="14.25" customHeight="1" x14ac:dyDescent="0.3"/>
    <row r="863" ht="14.25" customHeight="1" x14ac:dyDescent="0.3"/>
    <row r="864" ht="14.25" customHeight="1" x14ac:dyDescent="0.3"/>
    <row r="865" ht="14.25" customHeight="1" x14ac:dyDescent="0.3"/>
    <row r="866" ht="14.25" customHeight="1" x14ac:dyDescent="0.3"/>
    <row r="867" ht="14.25" customHeight="1" x14ac:dyDescent="0.3"/>
    <row r="868" ht="14.25" customHeight="1" x14ac:dyDescent="0.3"/>
    <row r="869" ht="14.25" customHeight="1" x14ac:dyDescent="0.3"/>
    <row r="870" ht="14.25" customHeight="1" x14ac:dyDescent="0.3"/>
    <row r="871" ht="14.25" customHeight="1" x14ac:dyDescent="0.3"/>
    <row r="872" ht="14.25" customHeight="1" x14ac:dyDescent="0.3"/>
    <row r="873" ht="14.25" customHeight="1" x14ac:dyDescent="0.3"/>
    <row r="874" ht="14.25" customHeight="1" x14ac:dyDescent="0.3"/>
    <row r="875" ht="14.25" customHeight="1" x14ac:dyDescent="0.3"/>
    <row r="876" ht="14.25" customHeight="1" x14ac:dyDescent="0.3"/>
    <row r="877" ht="14.25" customHeight="1" x14ac:dyDescent="0.3"/>
    <row r="878" ht="14.25" customHeight="1" x14ac:dyDescent="0.3"/>
    <row r="879" ht="14.25" customHeight="1" x14ac:dyDescent="0.3"/>
    <row r="880" ht="14.25" customHeight="1" x14ac:dyDescent="0.3"/>
    <row r="881" ht="14.25" customHeight="1" x14ac:dyDescent="0.3"/>
    <row r="882" ht="14.25" customHeight="1" x14ac:dyDescent="0.3"/>
    <row r="883" ht="14.25" customHeight="1" x14ac:dyDescent="0.3"/>
    <row r="884" ht="14.25" customHeight="1" x14ac:dyDescent="0.3"/>
    <row r="885" ht="14.25" customHeight="1" x14ac:dyDescent="0.3"/>
    <row r="886" ht="14.25" customHeight="1" x14ac:dyDescent="0.3"/>
    <row r="887" ht="14.25" customHeight="1" x14ac:dyDescent="0.3"/>
    <row r="888" ht="14.25" customHeight="1" x14ac:dyDescent="0.3"/>
    <row r="889" ht="14.25" customHeight="1" x14ac:dyDescent="0.3"/>
    <row r="890" ht="14.25" customHeight="1" x14ac:dyDescent="0.3"/>
    <row r="891" ht="14.25" customHeight="1" x14ac:dyDescent="0.3"/>
    <row r="892" ht="14.25" customHeight="1" x14ac:dyDescent="0.3"/>
    <row r="893" ht="14.25" customHeight="1" x14ac:dyDescent="0.3"/>
    <row r="894" ht="14.25" customHeight="1" x14ac:dyDescent="0.3"/>
    <row r="895" ht="14.25" customHeight="1" x14ac:dyDescent="0.3"/>
    <row r="896" ht="14.25" customHeight="1" x14ac:dyDescent="0.3"/>
    <row r="897" ht="14.25" customHeight="1" x14ac:dyDescent="0.3"/>
    <row r="898" ht="14.25" customHeight="1" x14ac:dyDescent="0.3"/>
    <row r="899" ht="14.25" customHeight="1" x14ac:dyDescent="0.3"/>
    <row r="900" ht="14.25" customHeight="1" x14ac:dyDescent="0.3"/>
    <row r="901" ht="14.25" customHeight="1" x14ac:dyDescent="0.3"/>
    <row r="902" ht="14.25" customHeight="1" x14ac:dyDescent="0.3"/>
    <row r="903" ht="14.25" customHeight="1" x14ac:dyDescent="0.3"/>
    <row r="904" ht="14.25" customHeight="1" x14ac:dyDescent="0.3"/>
    <row r="905" ht="14.25" customHeight="1" x14ac:dyDescent="0.3"/>
    <row r="906" ht="14.25" customHeight="1" x14ac:dyDescent="0.3"/>
    <row r="907" ht="14.25" customHeight="1" x14ac:dyDescent="0.3"/>
    <row r="908" ht="14.25" customHeight="1" x14ac:dyDescent="0.3"/>
    <row r="909" ht="14.25" customHeight="1" x14ac:dyDescent="0.3"/>
    <row r="910" ht="14.25" customHeight="1" x14ac:dyDescent="0.3"/>
    <row r="911" ht="14.25" customHeight="1" x14ac:dyDescent="0.3"/>
    <row r="912" ht="14.25" customHeight="1" x14ac:dyDescent="0.3"/>
    <row r="913" ht="14.25" customHeight="1" x14ac:dyDescent="0.3"/>
    <row r="914" ht="14.25" customHeight="1" x14ac:dyDescent="0.3"/>
    <row r="915" ht="14.25" customHeight="1" x14ac:dyDescent="0.3"/>
    <row r="916" ht="14.25" customHeight="1" x14ac:dyDescent="0.3"/>
    <row r="917" ht="14.25" customHeight="1" x14ac:dyDescent="0.3"/>
    <row r="918" ht="14.25" customHeight="1" x14ac:dyDescent="0.3"/>
    <row r="919" ht="14.25" customHeight="1" x14ac:dyDescent="0.3"/>
    <row r="920" ht="14.25" customHeight="1" x14ac:dyDescent="0.3"/>
    <row r="921" ht="14.25" customHeight="1" x14ac:dyDescent="0.3"/>
    <row r="922" ht="14.25" customHeight="1" x14ac:dyDescent="0.3"/>
    <row r="923" ht="14.25" customHeight="1" x14ac:dyDescent="0.3"/>
    <row r="924" ht="14.25" customHeight="1" x14ac:dyDescent="0.3"/>
    <row r="925" ht="14.25" customHeight="1" x14ac:dyDescent="0.3"/>
    <row r="926" ht="14.25" customHeight="1" x14ac:dyDescent="0.3"/>
    <row r="927" ht="14.25" customHeight="1" x14ac:dyDescent="0.3"/>
    <row r="928" ht="14.25" customHeight="1" x14ac:dyDescent="0.3"/>
    <row r="929" ht="14.25" customHeight="1" x14ac:dyDescent="0.3"/>
    <row r="930" ht="14.25" customHeight="1" x14ac:dyDescent="0.3"/>
    <row r="931" ht="14.25" customHeight="1" x14ac:dyDescent="0.3"/>
    <row r="932" ht="14.25" customHeight="1" x14ac:dyDescent="0.3"/>
    <row r="933" ht="14.25" customHeight="1" x14ac:dyDescent="0.3"/>
    <row r="934" ht="14.25" customHeight="1" x14ac:dyDescent="0.3"/>
    <row r="935" ht="14.25" customHeight="1" x14ac:dyDescent="0.3"/>
    <row r="936" ht="14.25" customHeight="1" x14ac:dyDescent="0.3"/>
    <row r="937" ht="14.25" customHeight="1" x14ac:dyDescent="0.3"/>
    <row r="938" ht="14.25" customHeight="1" x14ac:dyDescent="0.3"/>
    <row r="939" ht="14.25" customHeight="1" x14ac:dyDescent="0.3"/>
    <row r="940" ht="14.25" customHeight="1" x14ac:dyDescent="0.3"/>
    <row r="941" ht="14.25" customHeight="1" x14ac:dyDescent="0.3"/>
    <row r="942" ht="14.25" customHeight="1" x14ac:dyDescent="0.3"/>
    <row r="943" ht="14.25" customHeight="1" x14ac:dyDescent="0.3"/>
    <row r="944" ht="14.25" customHeight="1" x14ac:dyDescent="0.3"/>
    <row r="945" ht="14.25" customHeight="1" x14ac:dyDescent="0.3"/>
    <row r="946" ht="14.25" customHeight="1" x14ac:dyDescent="0.3"/>
    <row r="947" ht="14.25" customHeight="1" x14ac:dyDescent="0.3"/>
    <row r="948" ht="14.25" customHeight="1" x14ac:dyDescent="0.3"/>
    <row r="949" ht="14.25" customHeight="1" x14ac:dyDescent="0.3"/>
    <row r="950" ht="14.25" customHeight="1" x14ac:dyDescent="0.3"/>
    <row r="951" ht="14.25" customHeight="1" x14ac:dyDescent="0.3"/>
    <row r="952" ht="14.25" customHeight="1" x14ac:dyDescent="0.3"/>
    <row r="953" ht="14.25" customHeight="1" x14ac:dyDescent="0.3"/>
    <row r="954" ht="14.25" customHeight="1" x14ac:dyDescent="0.3"/>
    <row r="955" ht="14.25" customHeight="1" x14ac:dyDescent="0.3"/>
    <row r="956" ht="14.25" customHeight="1" x14ac:dyDescent="0.3"/>
    <row r="957" ht="14.25" customHeight="1" x14ac:dyDescent="0.3"/>
    <row r="958" ht="14.25" customHeight="1" x14ac:dyDescent="0.3"/>
    <row r="959" ht="14.25" customHeight="1" x14ac:dyDescent="0.3"/>
    <row r="960" ht="14.25" customHeight="1" x14ac:dyDescent="0.3"/>
    <row r="961" ht="14.25" customHeight="1" x14ac:dyDescent="0.3"/>
    <row r="962" ht="14.25" customHeight="1" x14ac:dyDescent="0.3"/>
    <row r="963" ht="14.25" customHeight="1" x14ac:dyDescent="0.3"/>
    <row r="964" ht="14.25" customHeight="1" x14ac:dyDescent="0.3"/>
    <row r="965" ht="14.25" customHeight="1" x14ac:dyDescent="0.3"/>
    <row r="966" ht="14.25" customHeight="1" x14ac:dyDescent="0.3"/>
    <row r="967" ht="14.25" customHeight="1" x14ac:dyDescent="0.3"/>
    <row r="968" ht="14.25" customHeight="1" x14ac:dyDescent="0.3"/>
    <row r="969" ht="14.25" customHeight="1" x14ac:dyDescent="0.3"/>
    <row r="970" ht="14.25" customHeight="1" x14ac:dyDescent="0.3"/>
    <row r="971" ht="14.25" customHeight="1" x14ac:dyDescent="0.3"/>
    <row r="972" ht="14.25" customHeight="1" x14ac:dyDescent="0.3"/>
    <row r="973" ht="14.25" customHeight="1" x14ac:dyDescent="0.3"/>
    <row r="974" ht="14.25" customHeight="1" x14ac:dyDescent="0.3"/>
    <row r="975" ht="14.25" customHeight="1" x14ac:dyDescent="0.3"/>
    <row r="976" ht="14.25" customHeight="1" x14ac:dyDescent="0.3"/>
    <row r="977" ht="14.25" customHeight="1" x14ac:dyDescent="0.3"/>
    <row r="978" ht="14.25" customHeight="1" x14ac:dyDescent="0.3"/>
    <row r="979" ht="14.25" customHeight="1" x14ac:dyDescent="0.3"/>
    <row r="980" ht="14.25" customHeight="1" x14ac:dyDescent="0.3"/>
    <row r="981" ht="14.25" customHeight="1" x14ac:dyDescent="0.3"/>
    <row r="982" ht="14.25" customHeight="1" x14ac:dyDescent="0.3"/>
    <row r="983" ht="14.25" customHeight="1" x14ac:dyDescent="0.3"/>
    <row r="984" ht="14.25" customHeight="1" x14ac:dyDescent="0.3"/>
    <row r="985" ht="14.25" customHeight="1" x14ac:dyDescent="0.3"/>
    <row r="986" ht="14.25" customHeight="1" x14ac:dyDescent="0.3"/>
    <row r="987" ht="14.25" customHeight="1" x14ac:dyDescent="0.3"/>
    <row r="988" ht="14.25" customHeight="1" x14ac:dyDescent="0.3"/>
    <row r="989" ht="14.25" customHeight="1" x14ac:dyDescent="0.3"/>
    <row r="990" ht="14.25" customHeight="1" x14ac:dyDescent="0.3"/>
    <row r="991" ht="14.25" customHeight="1" x14ac:dyDescent="0.3"/>
    <row r="992" ht="14.25" customHeight="1" x14ac:dyDescent="0.3"/>
    <row r="993" ht="14.25" customHeight="1" x14ac:dyDescent="0.3"/>
    <row r="994" ht="14.25" customHeight="1" x14ac:dyDescent="0.3"/>
    <row r="995" ht="14.25" customHeight="1" x14ac:dyDescent="0.3"/>
    <row r="996" ht="14.25" customHeight="1" x14ac:dyDescent="0.3"/>
    <row r="997" ht="14.25" customHeight="1" x14ac:dyDescent="0.3"/>
    <row r="998" ht="14.25" customHeight="1" x14ac:dyDescent="0.3"/>
    <row r="999" ht="14.25" customHeight="1" x14ac:dyDescent="0.3"/>
    <row r="1000" ht="14.25" customHeight="1" x14ac:dyDescent="0.3"/>
  </sheetData>
  <pageMargins left="0.7" right="0.7" top="0.75" bottom="0.75" header="0" footer="0"/>
  <pageSetup orientation="landscape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161CAB-689A-4532-AFE9-28BC58059026}">
  <sheetPr>
    <pageSetUpPr fitToPage="1"/>
  </sheetPr>
  <dimension ref="B1:S40"/>
  <sheetViews>
    <sheetView showGridLines="0" tabSelected="1" zoomScale="72" zoomScaleNormal="58" workbookViewId="0">
      <selection activeCell="G17" sqref="G17"/>
    </sheetView>
  </sheetViews>
  <sheetFormatPr defaultRowHeight="14.4" x14ac:dyDescent="0.3"/>
  <cols>
    <col min="7" max="7" width="64" customWidth="1"/>
    <col min="8" max="8" width="18.44140625" customWidth="1"/>
    <col min="15" max="15" width="8.6640625" customWidth="1"/>
    <col min="16" max="16" width="24.109375" customWidth="1"/>
    <col min="17" max="17" width="19.88671875" customWidth="1"/>
    <col min="18" max="18" width="13.44140625" bestFit="1" customWidth="1"/>
    <col min="19" max="19" width="10.44140625" bestFit="1" customWidth="1"/>
  </cols>
  <sheetData>
    <row r="1" spans="4:19" x14ac:dyDescent="0.3">
      <c r="S1" s="5"/>
    </row>
    <row r="3" spans="4:19" ht="21" x14ac:dyDescent="0.4">
      <c r="Q3" s="12">
        <f ca="1">TODAY()</f>
        <v>46280</v>
      </c>
      <c r="R3" s="6"/>
    </row>
    <row r="4" spans="4:19" ht="31.2" x14ac:dyDescent="0.3">
      <c r="H4" s="4" t="s">
        <v>39</v>
      </c>
    </row>
    <row r="5" spans="4:19" x14ac:dyDescent="0.3">
      <c r="E5" t="s">
        <v>47</v>
      </c>
    </row>
    <row r="6" spans="4:19" x14ac:dyDescent="0.3">
      <c r="D6" s="3" t="s">
        <v>29</v>
      </c>
      <c r="G6" s="27"/>
      <c r="H6" s="7">
        <f>('Diesel Consumed'!$D$16)</f>
        <v>258.12</v>
      </c>
      <c r="L6" s="3" t="s">
        <v>30</v>
      </c>
      <c r="M6" s="13"/>
      <c r="Q6" s="21">
        <f>('Total Hours'!$D$16)</f>
        <v>38.53</v>
      </c>
    </row>
    <row r="7" spans="4:19" x14ac:dyDescent="0.3">
      <c r="L7" s="3" t="s">
        <v>31</v>
      </c>
      <c r="Q7" s="7">
        <f>('Total Hours'!$D$17)</f>
        <v>6.6991954321308071</v>
      </c>
    </row>
    <row r="19" spans="4:17" x14ac:dyDescent="0.3">
      <c r="D19" s="3" t="s">
        <v>32</v>
      </c>
      <c r="H19" s="7">
        <f>('Diesel Stock Level'!$C$18)</f>
        <v>1813.73</v>
      </c>
      <c r="L19" s="3" t="s">
        <v>33</v>
      </c>
      <c r="M19" s="13"/>
      <c r="Q19" s="7">
        <f>('Diesel Reserve'!$D$15)</f>
        <v>360</v>
      </c>
    </row>
    <row r="34" spans="2:16" ht="18" x14ac:dyDescent="0.35">
      <c r="G34" s="53" t="s">
        <v>34</v>
      </c>
      <c r="H34" s="54"/>
      <c r="I34" s="54"/>
      <c r="J34" s="54"/>
      <c r="K34" s="54"/>
      <c r="L34" s="54"/>
      <c r="M34" s="54"/>
      <c r="N34" s="54"/>
      <c r="O34" s="54"/>
      <c r="P34" s="55"/>
    </row>
    <row r="35" spans="2:16" x14ac:dyDescent="0.3">
      <c r="G35" s="43" t="s">
        <v>46</v>
      </c>
      <c r="H35" s="8"/>
      <c r="I35" s="8"/>
      <c r="J35" s="8"/>
      <c r="K35" s="8"/>
      <c r="L35" s="8"/>
      <c r="M35" s="8"/>
      <c r="N35" s="8"/>
      <c r="O35" s="8"/>
      <c r="P35" s="10"/>
    </row>
    <row r="36" spans="2:16" x14ac:dyDescent="0.3">
      <c r="G36" s="42"/>
      <c r="H36" s="8"/>
      <c r="I36" s="8"/>
      <c r="J36" s="8"/>
      <c r="K36" s="8"/>
      <c r="L36" s="8"/>
      <c r="M36" s="8"/>
      <c r="N36" s="8"/>
      <c r="O36" s="8"/>
      <c r="P36" s="10"/>
    </row>
    <row r="37" spans="2:16" x14ac:dyDescent="0.3">
      <c r="G37" s="37"/>
      <c r="H37" s="8"/>
      <c r="I37" s="8"/>
      <c r="J37" s="8"/>
      <c r="K37" s="8"/>
      <c r="L37" s="8"/>
      <c r="M37" s="8"/>
      <c r="N37" s="8"/>
      <c r="O37" s="8"/>
      <c r="P37" s="10"/>
    </row>
    <row r="38" spans="2:16" x14ac:dyDescent="0.3">
      <c r="G38" s="18"/>
      <c r="H38" s="8"/>
      <c r="I38" s="8"/>
      <c r="J38" s="8"/>
      <c r="K38" s="8"/>
      <c r="L38" s="8"/>
      <c r="M38" s="8"/>
      <c r="N38" s="8"/>
      <c r="O38" s="8"/>
      <c r="P38" s="16"/>
    </row>
    <row r="39" spans="2:16" x14ac:dyDescent="0.3">
      <c r="G39" s="19"/>
      <c r="H39" s="14"/>
      <c r="I39" s="14"/>
      <c r="J39" s="14"/>
      <c r="K39" s="14"/>
      <c r="L39" s="14"/>
      <c r="M39" s="14"/>
      <c r="N39" s="14"/>
      <c r="O39" s="14"/>
      <c r="P39" s="15"/>
    </row>
    <row r="40" spans="2:16" x14ac:dyDescent="0.3">
      <c r="B40" t="s">
        <v>44</v>
      </c>
    </row>
  </sheetData>
  <mergeCells count="1">
    <mergeCell ref="G34:P34"/>
  </mergeCells>
  <pageMargins left="0.25" right="0.25" top="0.75" bottom="0.75" header="0.3" footer="0.3"/>
  <pageSetup paperSize="9" scale="60" orientation="landscape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6BE408-004F-4BBE-B49C-63F17C47BA24}">
  <sheetPr>
    <pageSetUpPr fitToPage="1"/>
  </sheetPr>
  <dimension ref="D1:S39"/>
  <sheetViews>
    <sheetView showGridLines="0" zoomScale="64" zoomScaleNormal="75" workbookViewId="0">
      <selection activeCell="G37" sqref="G37"/>
    </sheetView>
  </sheetViews>
  <sheetFormatPr defaultRowHeight="14.4" x14ac:dyDescent="0.3"/>
  <cols>
    <col min="7" max="7" width="36.5546875" bestFit="1" customWidth="1"/>
    <col min="8" max="8" width="12.5546875" customWidth="1"/>
    <col min="15" max="16" width="8.6640625" customWidth="1"/>
    <col min="17" max="17" width="18.5546875" customWidth="1"/>
    <col min="18" max="18" width="13.44140625" bestFit="1" customWidth="1"/>
    <col min="19" max="19" width="10.44140625" bestFit="1" customWidth="1"/>
  </cols>
  <sheetData>
    <row r="1" spans="4:19" x14ac:dyDescent="0.3">
      <c r="S1" s="5"/>
    </row>
    <row r="3" spans="4:19" ht="21" x14ac:dyDescent="0.4">
      <c r="Q3" s="12">
        <f ca="1">TODAY()</f>
        <v>46280</v>
      </c>
      <c r="R3" s="6"/>
    </row>
    <row r="4" spans="4:19" ht="31.2" x14ac:dyDescent="0.3">
      <c r="H4" s="4" t="s">
        <v>35</v>
      </c>
    </row>
    <row r="6" spans="4:19" x14ac:dyDescent="0.3">
      <c r="D6" s="3" t="s">
        <v>29</v>
      </c>
      <c r="H6" s="7">
        <f>('Diesel Consumed'!$D$15)</f>
        <v>0</v>
      </c>
      <c r="L6" s="3" t="s">
        <v>30</v>
      </c>
      <c r="M6" s="13"/>
      <c r="Q6" s="21">
        <f>('Total Hours'!$D$16)</f>
        <v>38.53</v>
      </c>
    </row>
    <row r="7" spans="4:19" x14ac:dyDescent="0.3">
      <c r="L7" s="3" t="s">
        <v>31</v>
      </c>
      <c r="Q7" s="7">
        <f>('Total Hours'!$D$17)</f>
        <v>6.6991954321308071</v>
      </c>
    </row>
    <row r="19" spans="4:17" x14ac:dyDescent="0.3">
      <c r="D19" s="3" t="s">
        <v>32</v>
      </c>
      <c r="H19" s="20">
        <f>('Diesel Stock Level'!$C$18)</f>
        <v>1813.73</v>
      </c>
      <c r="L19" s="3" t="s">
        <v>33</v>
      </c>
      <c r="M19" s="13"/>
      <c r="Q19" s="7">
        <f>('Diesel Reserve'!$D$15)</f>
        <v>360</v>
      </c>
    </row>
    <row r="34" spans="7:16" ht="18" x14ac:dyDescent="0.35">
      <c r="G34" s="53" t="s">
        <v>34</v>
      </c>
      <c r="H34" s="54"/>
      <c r="I34" s="54"/>
      <c r="J34" s="54"/>
      <c r="K34" s="54"/>
      <c r="L34" s="54"/>
      <c r="M34" s="54"/>
      <c r="N34" s="54"/>
      <c r="O34" s="54"/>
      <c r="P34" s="55"/>
    </row>
    <row r="35" spans="7:16" x14ac:dyDescent="0.3">
      <c r="G35" s="26" t="s">
        <v>37</v>
      </c>
      <c r="H35" s="8"/>
      <c r="I35" s="8"/>
      <c r="J35" s="8"/>
      <c r="K35" s="8"/>
      <c r="L35" s="8"/>
      <c r="M35" s="8"/>
      <c r="N35" s="8"/>
      <c r="O35" s="8"/>
      <c r="P35" s="10"/>
    </row>
    <row r="36" spans="7:16" x14ac:dyDescent="0.3">
      <c r="G36" s="26" t="s">
        <v>38</v>
      </c>
      <c r="H36" s="8"/>
      <c r="I36" s="8"/>
      <c r="J36" s="8"/>
      <c r="K36" s="8"/>
      <c r="L36" s="8"/>
      <c r="M36" s="8"/>
      <c r="N36" s="8"/>
      <c r="O36" s="8"/>
      <c r="P36" s="10"/>
    </row>
    <row r="37" spans="7:16" x14ac:dyDescent="0.3">
      <c r="G37" s="24"/>
      <c r="H37" s="8"/>
      <c r="I37" s="8"/>
      <c r="J37" s="8"/>
      <c r="K37" s="8"/>
      <c r="L37" s="8"/>
      <c r="M37" s="8"/>
      <c r="N37" s="8"/>
      <c r="O37" s="8"/>
      <c r="P37" s="10"/>
    </row>
    <row r="38" spans="7:16" x14ac:dyDescent="0.3">
      <c r="G38" s="22"/>
      <c r="H38" s="8"/>
      <c r="I38" s="8"/>
      <c r="J38" s="8"/>
      <c r="K38" s="8"/>
      <c r="L38" s="8"/>
      <c r="M38" s="8"/>
      <c r="N38" s="8"/>
      <c r="O38" s="8"/>
      <c r="P38" s="10"/>
    </row>
    <row r="39" spans="7:16" x14ac:dyDescent="0.3">
      <c r="G39" s="23"/>
      <c r="H39" s="9"/>
      <c r="I39" s="9"/>
      <c r="J39" s="9"/>
      <c r="K39" s="9"/>
      <c r="L39" s="9"/>
      <c r="M39" s="9"/>
      <c r="N39" s="9"/>
      <c r="O39" s="9"/>
      <c r="P39" s="11"/>
    </row>
  </sheetData>
  <mergeCells count="1">
    <mergeCell ref="G34:P34"/>
  </mergeCells>
  <pageMargins left="0.25" right="0.25" top="0.75" bottom="0.75" header="0.3" footer="0.3"/>
  <pageSetup paperSize="9" scale="76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7</vt:i4>
      </vt:variant>
      <vt:variant>
        <vt:lpstr>Named Ranges</vt:lpstr>
      </vt:variant>
      <vt:variant>
        <vt:i4>2</vt:i4>
      </vt:variant>
    </vt:vector>
  </HeadingPairs>
  <TitlesOfParts>
    <vt:vector size="9" baseType="lpstr">
      <vt:lpstr>Sheet1</vt:lpstr>
      <vt:lpstr>Diesel Stock Level</vt:lpstr>
      <vt:lpstr>Diesel Consumed</vt:lpstr>
      <vt:lpstr>Total Hours</vt:lpstr>
      <vt:lpstr>Diesel Reserve</vt:lpstr>
      <vt:lpstr>Report</vt:lpstr>
      <vt:lpstr>Report (Monday)</vt:lpstr>
      <vt:lpstr>Report!Print_Area</vt:lpstr>
      <vt:lpstr>'Report (Monday)'!Print_Area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Data_Analyst</dc:creator>
  <cp:keywords/>
  <dc:description/>
  <cp:lastModifiedBy>Data Analyst</cp:lastModifiedBy>
  <cp:revision/>
  <cp:lastPrinted>2026-09-15T11:09:30Z</cp:lastPrinted>
  <dcterms:created xsi:type="dcterms:W3CDTF">2024-11-16T10:33:49Z</dcterms:created>
  <dcterms:modified xsi:type="dcterms:W3CDTF">2026-09-15T11:14:41Z</dcterms:modified>
  <cp:category/>
  <cp:contentStatus/>
</cp:coreProperties>
</file>